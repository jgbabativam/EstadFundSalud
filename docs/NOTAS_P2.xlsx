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2276785-5F97-4DAC-906B-F80629DA48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3" i="1"/>
  <c r="K23" i="1"/>
  <c r="K21" i="1"/>
  <c r="K20" i="1"/>
  <c r="K19" i="1"/>
  <c r="K18" i="1"/>
  <c r="K17" i="1"/>
  <c r="K16" i="1"/>
  <c r="K14" i="1"/>
  <c r="K13" i="1"/>
  <c r="K12" i="1"/>
  <c r="K11" i="1"/>
  <c r="K10" i="1"/>
  <c r="K9" i="1"/>
  <c r="K8" i="1"/>
  <c r="K7" i="1"/>
  <c r="K6" i="1"/>
  <c r="K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</calcChain>
</file>

<file path=xl/sharedStrings.xml><?xml version="1.0" encoding="utf-8"?>
<sst xmlns="http://schemas.openxmlformats.org/spreadsheetml/2006/main" count="75" uniqueCount="53">
  <si>
    <t>GRUPO</t>
  </si>
  <si>
    <t>DOCUMENTO</t>
  </si>
  <si>
    <t>CORREO_INSTITUCIONAL</t>
  </si>
  <si>
    <t>1</t>
  </si>
  <si>
    <t>1000077079</t>
  </si>
  <si>
    <t>gortizd@unal.edu.co</t>
  </si>
  <si>
    <t>1000935924</t>
  </si>
  <si>
    <t>dcastillot@unal.edu.co</t>
  </si>
  <si>
    <t>1003315952</t>
  </si>
  <si>
    <t>anyjimenezca@unal.edu.co</t>
  </si>
  <si>
    <t>1003540575</t>
  </si>
  <si>
    <t>emahernandez@unal.edu.co</t>
  </si>
  <si>
    <t>1003824274</t>
  </si>
  <si>
    <t>mamorenofo@unal.edu.co</t>
  </si>
  <si>
    <t>1007848749</t>
  </si>
  <si>
    <t>ytirador@unal.edu.co</t>
  </si>
  <si>
    <t>1011082490</t>
  </si>
  <si>
    <t>mvanegasre@unal.edu.co</t>
  </si>
  <si>
    <t>1014266422</t>
  </si>
  <si>
    <t>fcaceres@unal.edu.co</t>
  </si>
  <si>
    <t>1023366615</t>
  </si>
  <si>
    <t>pposadac@unal.edu.co</t>
  </si>
  <si>
    <t>1023369533</t>
  </si>
  <si>
    <t>anospinat@unal.edu.co</t>
  </si>
  <si>
    <t>1029141161</t>
  </si>
  <si>
    <t>insierram@unal.edu.co</t>
  </si>
  <si>
    <t>1032938294</t>
  </si>
  <si>
    <t>latrianab@unal.edu.co</t>
  </si>
  <si>
    <t>1033737257</t>
  </si>
  <si>
    <t>abarreroa@unal.edu.co</t>
  </si>
  <si>
    <t>1034397126</t>
  </si>
  <si>
    <t>paguerreror@unal.edu.co</t>
  </si>
  <si>
    <t>1034398937</t>
  </si>
  <si>
    <t>viricoc@unal.edu.co</t>
  </si>
  <si>
    <t>1034576999</t>
  </si>
  <si>
    <t>anortizsa@unal.edu.co</t>
  </si>
  <si>
    <t>1034659420</t>
  </si>
  <si>
    <t>mescobarmo@unal.edu.co</t>
  </si>
  <si>
    <t>1059119224</t>
  </si>
  <si>
    <t>jgiraldolop@unal.edu.co</t>
  </si>
  <si>
    <t>1076736434</t>
  </si>
  <si>
    <t>ygarnica@unal.edu.co</t>
  </si>
  <si>
    <t>1077852850</t>
  </si>
  <si>
    <t>lauramirezgu@unal.edu.co</t>
  </si>
  <si>
    <t>1104701841</t>
  </si>
  <si>
    <t>heramirezp@unal.edu.co</t>
  </si>
  <si>
    <t>BONO</t>
  </si>
  <si>
    <t>EXAMEN 1</t>
  </si>
  <si>
    <t>CONCEP</t>
  </si>
  <si>
    <t>APLIC</t>
  </si>
  <si>
    <t>NOTA</t>
  </si>
  <si>
    <t>EXAMEN 2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</si>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</sst>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</font>
    <font>
      <sz val="8"/>
      <color rgb="FFFFFFFF"/>
      <name val="Tahoma"/>
      <family val="2"/>
    </font>
    <font>
      <sz val="8"/>
      <color theme="1"/>
      <name val="Tahoma"/>
      <family val="2"/>
    </font>
    <font>
      <b/>
      <sz val="8"/>
      <name val="Tahoma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6F6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1" fontId="0" fillId="0" borderId="0" xfId="0" applyNumberFormat="1"/>
    <xf numFmtId="1" fontId="0" fillId="4" borderId="0" xfId="0" applyNumberFormat="1" applyFill="1"/>
    <xf numFmtId="164" fontId="0" fillId="4" borderId="0" xfId="0" applyNumberFormat="1" applyFill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topLeftCell="B1" workbookViewId="0">
      <selection activeCell="J1" sqref="J1:K1"/>
    </sheetView>
  </sheetViews>
  <sheetFormatPr baseColWidth="10" defaultColWidth="9.1796875" defaultRowHeight="14.5" x14ac:dyDescent="0.35"/>
  <cols>
    <col min="1" max="1" width="21.26953125" hidden="1" customWidth="1"/>
    <col min="2" max="2" width="21.26953125" customWidth="1"/>
    <col min="3" max="3" width="29" hidden="1" customWidth="1"/>
    <col min="4" max="4" width="19" hidden="1" customWidth="1"/>
    <col min="9" max="9" width="12" bestFit="1" customWidth="1"/>
  </cols>
  <sheetData>
    <row r="1" spans="1:11" x14ac:dyDescent="0.35">
      <c r="F1" s="9" t="s">
        <v>47</v>
      </c>
      <c r="G1" s="9"/>
      <c r="H1" s="9"/>
      <c r="J1" s="9" t="s">
        <v>51</v>
      </c>
      <c r="K1" s="9"/>
    </row>
    <row r="2" spans="1:11" x14ac:dyDescent="0.35">
      <c r="A2" s="1" t="s">
        <v>0</v>
      </c>
      <c r="B2" s="1" t="s">
        <v>1</v>
      </c>
      <c r="C2" s="1" t="s">
        <v>2</v>
      </c>
      <c r="E2" s="3" t="s">
        <v>46</v>
      </c>
      <c r="F2" s="5" t="s">
        <v>48</v>
      </c>
      <c r="G2" s="5" t="s">
        <v>49</v>
      </c>
      <c r="H2" s="5" t="s">
        <v>50</v>
      </c>
      <c r="I2" s="3" t="s">
        <v>46</v>
      </c>
      <c r="J2" s="5" t="s">
        <v>52</v>
      </c>
      <c r="K2" s="5" t="s">
        <v>50</v>
      </c>
    </row>
    <row r="3" spans="1:11" x14ac:dyDescent="0.35">
      <c r="A3" s="2" t="s">
        <v>3</v>
      </c>
      <c r="B3" s="2" t="s">
        <v>4</v>
      </c>
      <c r="C3" s="2" t="s">
        <v>5</v>
      </c>
      <c r="D3" t="str">
        <f>C3&amp;","</f>
        <v>gortizd@unal.edu.co,</v>
      </c>
      <c r="F3" s="4">
        <v>4.5</v>
      </c>
      <c r="G3" s="4">
        <v>5</v>
      </c>
      <c r="H3" s="4">
        <f>(F3+G3)/2+E3/10</f>
        <v>4.75</v>
      </c>
      <c r="J3" s="6">
        <v>45</v>
      </c>
      <c r="K3" s="4">
        <f>J3/16+I3/10</f>
        <v>2.8125</v>
      </c>
    </row>
    <row r="4" spans="1:11" x14ac:dyDescent="0.35">
      <c r="A4" s="2" t="s">
        <v>3</v>
      </c>
      <c r="B4" s="2" t="s">
        <v>6</v>
      </c>
      <c r="C4" s="2" t="s">
        <v>7</v>
      </c>
      <c r="D4" t="str">
        <f t="shared" ref="D4:D23" si="0">C4&amp;","</f>
        <v>dcastillot@unal.edu.co,</v>
      </c>
      <c r="F4" s="4">
        <v>5</v>
      </c>
      <c r="G4" s="4">
        <v>4</v>
      </c>
      <c r="H4" s="4">
        <f>(F4+G4)/2+E4/10</f>
        <v>4.5</v>
      </c>
      <c r="I4">
        <v>1</v>
      </c>
      <c r="J4" s="6">
        <v>65</v>
      </c>
      <c r="K4" s="4">
        <f>J4/16+I4/10</f>
        <v>4.1624999999999996</v>
      </c>
    </row>
    <row r="5" spans="1:11" x14ac:dyDescent="0.35">
      <c r="A5" s="2" t="s">
        <v>3</v>
      </c>
      <c r="B5" s="2" t="s">
        <v>8</v>
      </c>
      <c r="C5" s="2" t="s">
        <v>9</v>
      </c>
      <c r="D5" t="str">
        <f t="shared" si="0"/>
        <v>anyjimenezca@unal.edu.co,</v>
      </c>
      <c r="F5" s="4">
        <v>3</v>
      </c>
      <c r="G5" s="4">
        <v>2.5</v>
      </c>
      <c r="H5" s="4">
        <f t="shared" ref="H5:H23" si="1">(F5+G5)/2+E5/10</f>
        <v>2.75</v>
      </c>
      <c r="I5">
        <v>2</v>
      </c>
      <c r="J5" s="6">
        <v>75</v>
      </c>
      <c r="K5" s="4">
        <f t="shared" ref="K4:K14" si="2">J5/16+I5/10</f>
        <v>4.8875000000000002</v>
      </c>
    </row>
    <row r="6" spans="1:11" x14ac:dyDescent="0.35">
      <c r="A6" s="2" t="s">
        <v>3</v>
      </c>
      <c r="B6" s="2" t="s">
        <v>10</v>
      </c>
      <c r="C6" s="2" t="s">
        <v>11</v>
      </c>
      <c r="D6" t="str">
        <f t="shared" si="0"/>
        <v>emahernandez@unal.edu.co,</v>
      </c>
      <c r="F6" s="4">
        <v>2</v>
      </c>
      <c r="G6" s="4">
        <v>3</v>
      </c>
      <c r="H6" s="4">
        <f t="shared" si="1"/>
        <v>2.5</v>
      </c>
      <c r="J6" s="6">
        <v>20</v>
      </c>
      <c r="K6" s="4">
        <f t="shared" si="2"/>
        <v>1.25</v>
      </c>
    </row>
    <row r="7" spans="1:11" x14ac:dyDescent="0.35">
      <c r="A7" s="2" t="s">
        <v>3</v>
      </c>
      <c r="B7" s="2" t="s">
        <v>12</v>
      </c>
      <c r="C7" s="2" t="s">
        <v>13</v>
      </c>
      <c r="D7" t="str">
        <f t="shared" si="0"/>
        <v>mamorenofo@unal.edu.co,</v>
      </c>
      <c r="F7" s="4">
        <v>4</v>
      </c>
      <c r="G7" s="4">
        <v>5</v>
      </c>
      <c r="H7" s="4">
        <f t="shared" si="1"/>
        <v>4.5</v>
      </c>
      <c r="J7" s="6">
        <v>80</v>
      </c>
      <c r="K7" s="4">
        <f t="shared" si="2"/>
        <v>5</v>
      </c>
    </row>
    <row r="8" spans="1:11" x14ac:dyDescent="0.35">
      <c r="A8" s="2" t="s">
        <v>3</v>
      </c>
      <c r="B8" s="2" t="s">
        <v>14</v>
      </c>
      <c r="C8" s="2" t="s">
        <v>15</v>
      </c>
      <c r="D8" t="str">
        <f t="shared" si="0"/>
        <v>ytirador@unal.edu.co,</v>
      </c>
      <c r="E8">
        <v>1</v>
      </c>
      <c r="F8" s="4">
        <v>3</v>
      </c>
      <c r="G8" s="4">
        <v>2.5</v>
      </c>
      <c r="H8" s="4">
        <f t="shared" si="1"/>
        <v>2.85</v>
      </c>
      <c r="I8" s="4">
        <v>1</v>
      </c>
      <c r="J8" s="6">
        <v>50</v>
      </c>
      <c r="K8" s="4">
        <f t="shared" si="2"/>
        <v>3.2250000000000001</v>
      </c>
    </row>
    <row r="9" spans="1:11" x14ac:dyDescent="0.35">
      <c r="A9" s="2" t="s">
        <v>3</v>
      </c>
      <c r="B9" s="2" t="s">
        <v>16</v>
      </c>
      <c r="C9" s="2" t="s">
        <v>17</v>
      </c>
      <c r="D9" t="str">
        <f t="shared" si="0"/>
        <v>mvanegasre@unal.edu.co,</v>
      </c>
      <c r="F9" s="4">
        <v>3.5</v>
      </c>
      <c r="G9" s="4">
        <v>5</v>
      </c>
      <c r="H9" s="4">
        <f t="shared" si="1"/>
        <v>4.25</v>
      </c>
      <c r="J9" s="6">
        <v>80</v>
      </c>
      <c r="K9" s="4">
        <f t="shared" si="2"/>
        <v>5</v>
      </c>
    </row>
    <row r="10" spans="1:11" x14ac:dyDescent="0.35">
      <c r="A10" s="2" t="s">
        <v>3</v>
      </c>
      <c r="B10" s="2" t="s">
        <v>18</v>
      </c>
      <c r="C10" s="2" t="s">
        <v>19</v>
      </c>
      <c r="D10" t="str">
        <f t="shared" si="0"/>
        <v>fcaceres@unal.edu.co,</v>
      </c>
      <c r="F10" s="4">
        <v>5</v>
      </c>
      <c r="G10" s="4">
        <v>5</v>
      </c>
      <c r="H10" s="4">
        <f t="shared" si="1"/>
        <v>5</v>
      </c>
      <c r="I10">
        <v>1</v>
      </c>
      <c r="J10" s="6">
        <v>70</v>
      </c>
      <c r="K10" s="4">
        <f t="shared" si="2"/>
        <v>4.4749999999999996</v>
      </c>
    </row>
    <row r="11" spans="1:11" x14ac:dyDescent="0.35">
      <c r="A11" s="2" t="s">
        <v>3</v>
      </c>
      <c r="B11" s="2" t="s">
        <v>20</v>
      </c>
      <c r="C11" s="2" t="s">
        <v>21</v>
      </c>
      <c r="D11" t="str">
        <f t="shared" si="0"/>
        <v>pposadac@unal.edu.co,</v>
      </c>
      <c r="F11" s="4">
        <v>3.5</v>
      </c>
      <c r="G11" s="4">
        <v>3</v>
      </c>
      <c r="H11" s="4">
        <f t="shared" si="1"/>
        <v>3.25</v>
      </c>
      <c r="J11" s="6">
        <v>60</v>
      </c>
      <c r="K11" s="4">
        <f t="shared" si="2"/>
        <v>3.75</v>
      </c>
    </row>
    <row r="12" spans="1:11" x14ac:dyDescent="0.35">
      <c r="A12" s="2" t="s">
        <v>3</v>
      </c>
      <c r="B12" s="2" t="s">
        <v>22</v>
      </c>
      <c r="C12" s="2" t="s">
        <v>23</v>
      </c>
      <c r="D12" t="str">
        <f t="shared" si="0"/>
        <v>anospinat@unal.edu.co,</v>
      </c>
      <c r="F12" s="4">
        <v>4.5</v>
      </c>
      <c r="G12" s="4">
        <v>4.5</v>
      </c>
      <c r="H12" s="4">
        <f t="shared" si="1"/>
        <v>4.5</v>
      </c>
      <c r="J12" s="6">
        <v>65</v>
      </c>
      <c r="K12" s="4">
        <f t="shared" si="2"/>
        <v>4.0625</v>
      </c>
    </row>
    <row r="13" spans="1:11" x14ac:dyDescent="0.35">
      <c r="A13" s="2" t="s">
        <v>3</v>
      </c>
      <c r="B13" s="2" t="s">
        <v>24</v>
      </c>
      <c r="C13" s="2" t="s">
        <v>25</v>
      </c>
      <c r="D13" t="str">
        <f t="shared" si="0"/>
        <v>insierram@unal.edu.co,</v>
      </c>
      <c r="F13" s="4">
        <v>3.5</v>
      </c>
      <c r="G13" s="4">
        <v>4</v>
      </c>
      <c r="H13" s="4">
        <f t="shared" si="1"/>
        <v>3.75</v>
      </c>
      <c r="I13">
        <v>1</v>
      </c>
      <c r="J13" s="6">
        <v>70</v>
      </c>
      <c r="K13" s="4">
        <f t="shared" si="2"/>
        <v>4.4749999999999996</v>
      </c>
    </row>
    <row r="14" spans="1:11" x14ac:dyDescent="0.35">
      <c r="A14" s="2" t="s">
        <v>3</v>
      </c>
      <c r="B14" s="2" t="s">
        <v>26</v>
      </c>
      <c r="C14" s="2" t="s">
        <v>27</v>
      </c>
      <c r="D14" t="str">
        <f t="shared" si="0"/>
        <v>latrianab@unal.edu.co,</v>
      </c>
      <c r="F14" s="4">
        <v>4.5</v>
      </c>
      <c r="G14" s="4">
        <v>2.5</v>
      </c>
      <c r="H14" s="4">
        <f t="shared" si="1"/>
        <v>3.5</v>
      </c>
      <c r="J14" s="6">
        <v>70</v>
      </c>
      <c r="K14" s="4">
        <f t="shared" si="2"/>
        <v>4.375</v>
      </c>
    </row>
    <row r="15" spans="1:11" x14ac:dyDescent="0.35">
      <c r="A15" s="2" t="s">
        <v>3</v>
      </c>
      <c r="B15" s="2" t="s">
        <v>28</v>
      </c>
      <c r="C15" s="2" t="s">
        <v>29</v>
      </c>
      <c r="D15" t="str">
        <f t="shared" si="0"/>
        <v>abarreroa@unal.edu.co,</v>
      </c>
      <c r="F15" s="4">
        <v>4</v>
      </c>
      <c r="G15" s="4">
        <v>0</v>
      </c>
      <c r="H15" s="4">
        <f t="shared" si="1"/>
        <v>2</v>
      </c>
      <c r="J15" s="7"/>
      <c r="K15" s="8"/>
    </row>
    <row r="16" spans="1:11" x14ac:dyDescent="0.35">
      <c r="A16" s="2" t="s">
        <v>3</v>
      </c>
      <c r="B16" s="2" t="s">
        <v>30</v>
      </c>
      <c r="C16" s="2" t="s">
        <v>31</v>
      </c>
      <c r="D16" t="str">
        <f t="shared" si="0"/>
        <v>paguerreror@unal.edu.co,</v>
      </c>
      <c r="E16">
        <v>1</v>
      </c>
      <c r="F16" s="4">
        <v>3</v>
      </c>
      <c r="G16" s="4">
        <v>4</v>
      </c>
      <c r="H16" s="4">
        <f t="shared" si="1"/>
        <v>3.6</v>
      </c>
      <c r="J16" s="6">
        <v>65</v>
      </c>
      <c r="K16" s="4">
        <f t="shared" ref="K16:K21" si="3">J16/16+I16/10</f>
        <v>4.0625</v>
      </c>
    </row>
    <row r="17" spans="1:11" x14ac:dyDescent="0.35">
      <c r="A17" s="2" t="s">
        <v>3</v>
      </c>
      <c r="B17" s="2" t="s">
        <v>32</v>
      </c>
      <c r="C17" s="2" t="s">
        <v>33</v>
      </c>
      <c r="D17" t="str">
        <f t="shared" si="0"/>
        <v>viricoc@unal.edu.co,</v>
      </c>
      <c r="F17" s="4">
        <v>5</v>
      </c>
      <c r="G17" s="4">
        <v>4</v>
      </c>
      <c r="H17" s="4">
        <f t="shared" si="1"/>
        <v>4.5</v>
      </c>
      <c r="J17" s="6">
        <v>70</v>
      </c>
      <c r="K17" s="4">
        <f t="shared" si="3"/>
        <v>4.375</v>
      </c>
    </row>
    <row r="18" spans="1:11" x14ac:dyDescent="0.35">
      <c r="A18" s="2" t="s">
        <v>3</v>
      </c>
      <c r="B18" s="2" t="s">
        <v>34</v>
      </c>
      <c r="C18" s="2" t="s">
        <v>35</v>
      </c>
      <c r="D18" t="str">
        <f t="shared" si="0"/>
        <v>anortizsa@unal.edu.co,</v>
      </c>
      <c r="F18" s="4">
        <v>3.5</v>
      </c>
      <c r="G18" s="4">
        <v>3.5</v>
      </c>
      <c r="H18" s="4">
        <f t="shared" si="1"/>
        <v>3.5</v>
      </c>
      <c r="I18">
        <v>1</v>
      </c>
      <c r="J18" s="6">
        <v>50</v>
      </c>
      <c r="K18" s="4">
        <f t="shared" si="3"/>
        <v>3.2250000000000001</v>
      </c>
    </row>
    <row r="19" spans="1:11" x14ac:dyDescent="0.35">
      <c r="A19" s="2" t="s">
        <v>3</v>
      </c>
      <c r="B19" s="2" t="s">
        <v>36</v>
      </c>
      <c r="C19" s="2" t="s">
        <v>37</v>
      </c>
      <c r="D19" t="str">
        <f t="shared" si="0"/>
        <v>mescobarmo@unal.edu.co,</v>
      </c>
      <c r="F19" s="4">
        <v>4</v>
      </c>
      <c r="G19" s="4">
        <v>5</v>
      </c>
      <c r="H19" s="4">
        <f t="shared" si="1"/>
        <v>4.5</v>
      </c>
      <c r="J19" s="6">
        <v>60</v>
      </c>
      <c r="K19" s="4">
        <f t="shared" si="3"/>
        <v>3.75</v>
      </c>
    </row>
    <row r="20" spans="1:11" x14ac:dyDescent="0.35">
      <c r="A20" s="2" t="s">
        <v>3</v>
      </c>
      <c r="B20" s="2" t="s">
        <v>38</v>
      </c>
      <c r="C20" s="2" t="s">
        <v>39</v>
      </c>
      <c r="D20" t="str">
        <f t="shared" si="0"/>
        <v>jgiraldolop@unal.edu.co,</v>
      </c>
      <c r="F20" s="4">
        <v>5</v>
      </c>
      <c r="G20" s="4">
        <v>3.5</v>
      </c>
      <c r="H20" s="4">
        <f t="shared" si="1"/>
        <v>4.25</v>
      </c>
      <c r="J20" s="6">
        <v>60</v>
      </c>
      <c r="K20" s="4">
        <f t="shared" si="3"/>
        <v>3.75</v>
      </c>
    </row>
    <row r="21" spans="1:11" x14ac:dyDescent="0.35">
      <c r="A21" s="2" t="s">
        <v>3</v>
      </c>
      <c r="B21" s="2" t="s">
        <v>40</v>
      </c>
      <c r="C21" s="2" t="s">
        <v>41</v>
      </c>
      <c r="D21" t="str">
        <f t="shared" si="0"/>
        <v>ygarnica@unal.edu.co,</v>
      </c>
      <c r="F21" s="4">
        <v>4.5</v>
      </c>
      <c r="G21" s="4">
        <v>4.5</v>
      </c>
      <c r="H21" s="4">
        <f t="shared" si="1"/>
        <v>4.5</v>
      </c>
      <c r="I21">
        <v>1</v>
      </c>
      <c r="J21" s="6">
        <v>70</v>
      </c>
      <c r="K21" s="4">
        <f t="shared" si="3"/>
        <v>4.4749999999999996</v>
      </c>
    </row>
    <row r="22" spans="1:11" x14ac:dyDescent="0.35">
      <c r="A22" s="2" t="s">
        <v>3</v>
      </c>
      <c r="B22" s="2" t="s">
        <v>42</v>
      </c>
      <c r="C22" s="2" t="s">
        <v>43</v>
      </c>
      <c r="D22" t="str">
        <f t="shared" si="0"/>
        <v>lauramirezgu@unal.edu.co,</v>
      </c>
      <c r="F22" s="4">
        <v>3.5</v>
      </c>
      <c r="G22" s="4">
        <v>3</v>
      </c>
      <c r="H22" s="4">
        <f t="shared" si="1"/>
        <v>3.25</v>
      </c>
      <c r="J22" s="7"/>
      <c r="K22" s="8"/>
    </row>
    <row r="23" spans="1:11" x14ac:dyDescent="0.35">
      <c r="A23" s="2" t="s">
        <v>3</v>
      </c>
      <c r="B23" s="2" t="s">
        <v>44</v>
      </c>
      <c r="C23" s="2" t="s">
        <v>45</v>
      </c>
      <c r="D23" t="str">
        <f t="shared" si="0"/>
        <v>heramirezp@unal.edu.co,</v>
      </c>
      <c r="F23" s="4">
        <v>3.5</v>
      </c>
      <c r="G23" s="4">
        <v>4.5</v>
      </c>
      <c r="H23" s="4">
        <f t="shared" si="1"/>
        <v>4</v>
      </c>
      <c r="J23" s="6">
        <v>50</v>
      </c>
      <c r="K23" s="4">
        <f>J23/16+I23/10</f>
        <v>3.125</v>
      </c>
    </row>
  </sheetData>
  <mergeCells count="2">
    <mergeCell ref="F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2026-02-20T16:22:03Z</dcterms:created>
  <dcterms:modified xsi:type="dcterms:W3CDTF">2026-05-21T22:49:24Z</dcterms:modified>
</cp:coreProperties>
</file>