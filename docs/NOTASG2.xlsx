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4A64F5F6-63C2-4455-A0D2-18C45FE80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3" i="1"/>
  <c r="O4" i="1"/>
  <c r="O5" i="1"/>
  <c r="O6" i="1"/>
  <c r="O7" i="1"/>
  <c r="O8" i="1"/>
  <c r="O3" i="1"/>
  <c r="L3" i="1"/>
  <c r="I4" i="1"/>
  <c r="I5" i="1"/>
  <c r="I6" i="1"/>
  <c r="I7" i="1"/>
  <c r="I3" i="1"/>
  <c r="F7" i="1"/>
  <c r="F8" i="1"/>
  <c r="F4" i="1"/>
  <c r="F5" i="1"/>
  <c r="F6" i="1"/>
  <c r="F3" i="1"/>
  <c r="S3" i="1" s="1"/>
  <c r="L4" i="1"/>
  <c r="L5" i="1"/>
  <c r="L6" i="1"/>
  <c r="L7" i="1"/>
  <c r="L8" i="1"/>
  <c r="S7" i="1" l="1"/>
  <c r="S6" i="1"/>
  <c r="S5" i="1"/>
  <c r="S4" i="1"/>
  <c r="S8" i="1"/>
</calcChain>
</file>

<file path=xl/sharedStrings.xml><?xml version="1.0" encoding="utf-8"?>
<sst xmlns="http://schemas.openxmlformats.org/spreadsheetml/2006/main" count="36" uniqueCount="26">
  <si>
    <t>DOCUMENTO</t>
  </si>
  <si>
    <t>CORREO_INSTITUCIONAL</t>
  </si>
  <si>
    <t>1007765123</t>
  </si>
  <si>
    <t>dantorres@unal.edu.co</t>
  </si>
  <si>
    <t>1025538283</t>
  </si>
  <si>
    <t>judazap@unal.edu.co</t>
  </si>
  <si>
    <t>1026566502</t>
  </si>
  <si>
    <t>jcarmonamu@unal.edu.co</t>
  </si>
  <si>
    <t>1071171561</t>
  </si>
  <si>
    <t>sxperdomoc@unal.edu.co</t>
  </si>
  <si>
    <t>1123622137</t>
  </si>
  <si>
    <t>jfiquaire@unal.edu.co</t>
  </si>
  <si>
    <t>1127062958</t>
  </si>
  <si>
    <t>jcarpio@unal.edu.co</t>
  </si>
  <si>
    <t>BONO</t>
  </si>
  <si>
    <t>EXAMEN 1</t>
  </si>
  <si>
    <t>CONCEP</t>
  </si>
  <si>
    <t>APLICA</t>
  </si>
  <si>
    <t>NOTA</t>
  </si>
  <si>
    <t>EXAMEN 2</t>
  </si>
  <si>
    <t>Puntos</t>
  </si>
  <si>
    <t>EXAMEN 3</t>
  </si>
  <si>
    <t>puntos</t>
  </si>
  <si>
    <t>EXAMEN 4</t>
  </si>
  <si>
    <t>EXAMEN 5</t>
  </si>
  <si>
    <t>DEFINITIVA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</si>
</sst>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</font>
    <font>
      <sz val="8"/>
      <color rgb="FFFFFFFF"/>
      <name val="Tahoma"/>
      <family val="2"/>
    </font>
    <font>
      <sz val="8"/>
      <color theme="1"/>
      <name val="Tahoma"/>
      <family val="2"/>
    </font>
    <font>
      <b/>
      <sz val="8"/>
      <name val="Tahoma"/>
      <family val="2"/>
    </font>
    <font>
      <b/>
      <sz val="11"/>
      <color theme="1"/>
      <name val="Calibri"/>
      <family val="2"/>
    </font>
    <font>
      <b/>
      <sz val="10"/>
      <color theme="0"/>
      <name val="Tahoma"/>
      <family val="2"/>
    </font>
    <font>
      <b/>
      <sz val="12"/>
      <color theme="1"/>
      <name val="Calibri"/>
      <family val="2"/>
    </font>
    <font>
      <b/>
      <sz val="8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706F6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777777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tabSelected="1" zoomScale="160" zoomScaleNormal="160" workbookViewId="0">
      <selection activeCell="P3" sqref="P3"/>
    </sheetView>
  </sheetViews>
  <sheetFormatPr baseColWidth="10" defaultColWidth="8.7109375" defaultRowHeight="15" x14ac:dyDescent="0.25"/>
  <cols>
    <col min="1" max="1" width="21.42578125" customWidth="1"/>
    <col min="2" max="2" width="28.85546875" hidden="1" customWidth="1"/>
    <col min="3" max="3" width="5.42578125" customWidth="1"/>
    <col min="4" max="4" width="6.85546875" bestFit="1" customWidth="1"/>
    <col min="5" max="5" width="9.5703125" customWidth="1"/>
    <col min="6" max="6" width="5.140625" bestFit="1" customWidth="1"/>
    <col min="7" max="7" width="7.42578125" bestFit="1" customWidth="1"/>
    <col min="8" max="8" width="7.140625" customWidth="1"/>
    <col min="9" max="9" width="5.140625" bestFit="1" customWidth="1"/>
    <col min="10" max="10" width="7.42578125" bestFit="1" customWidth="1"/>
    <col min="11" max="11" width="8.42578125" bestFit="1" customWidth="1"/>
    <col min="12" max="12" width="5.140625" bestFit="1" customWidth="1"/>
    <col min="13" max="13" width="7.42578125" bestFit="1" customWidth="1"/>
    <col min="14" max="14" width="5.85546875" bestFit="1" customWidth="1"/>
    <col min="19" max="19" width="12.85546875" customWidth="1"/>
  </cols>
  <sheetData>
    <row r="1" spans="1:19" ht="15" customHeight="1" x14ac:dyDescent="0.25">
      <c r="A1" s="14" t="s">
        <v>0</v>
      </c>
      <c r="C1" s="19" t="s">
        <v>15</v>
      </c>
      <c r="D1" s="19"/>
      <c r="E1" s="19"/>
      <c r="F1" s="20"/>
      <c r="G1" s="12" t="s">
        <v>19</v>
      </c>
      <c r="H1" s="12"/>
      <c r="I1" s="12"/>
      <c r="J1" s="16" t="s">
        <v>21</v>
      </c>
      <c r="K1" s="16"/>
      <c r="L1" s="16"/>
      <c r="M1" s="17" t="s">
        <v>23</v>
      </c>
      <c r="N1" s="17"/>
      <c r="O1" s="17"/>
      <c r="P1" s="12" t="s">
        <v>24</v>
      </c>
      <c r="Q1" s="12"/>
      <c r="R1" s="12"/>
      <c r="S1" s="13" t="s">
        <v>25</v>
      </c>
    </row>
    <row r="2" spans="1:19" ht="21" x14ac:dyDescent="0.25">
      <c r="A2" s="15"/>
      <c r="B2" s="2" t="s">
        <v>1</v>
      </c>
      <c r="C2" s="22" t="s">
        <v>14</v>
      </c>
      <c r="D2" s="21" t="s">
        <v>16</v>
      </c>
      <c r="E2" s="21" t="s">
        <v>17</v>
      </c>
      <c r="F2" s="21" t="s">
        <v>18</v>
      </c>
      <c r="G2" s="5" t="s">
        <v>14</v>
      </c>
      <c r="H2" s="5" t="s">
        <v>20</v>
      </c>
      <c r="I2" s="5" t="s">
        <v>18</v>
      </c>
      <c r="J2" s="6" t="s">
        <v>14</v>
      </c>
      <c r="K2" s="6" t="s">
        <v>21</v>
      </c>
      <c r="L2" s="6" t="s">
        <v>18</v>
      </c>
      <c r="M2" s="7" t="s">
        <v>14</v>
      </c>
      <c r="N2" s="7" t="s">
        <v>22</v>
      </c>
      <c r="O2" s="7" t="s">
        <v>18</v>
      </c>
      <c r="P2" s="5" t="s">
        <v>14</v>
      </c>
      <c r="Q2" s="5" t="s">
        <v>22</v>
      </c>
      <c r="R2" s="5" t="s">
        <v>18</v>
      </c>
      <c r="S2" s="13"/>
    </row>
    <row r="3" spans="1:19" ht="15.75" x14ac:dyDescent="0.25">
      <c r="A3" s="1" t="s">
        <v>2</v>
      </c>
      <c r="B3" s="3" t="s">
        <v>3</v>
      </c>
      <c r="C3" s="4"/>
      <c r="D3" s="8">
        <v>2</v>
      </c>
      <c r="E3" s="8">
        <v>1.5</v>
      </c>
      <c r="F3" s="8">
        <f>(D3+E3)/2+C3/10</f>
        <v>1.75</v>
      </c>
      <c r="G3" s="9"/>
      <c r="H3" s="10">
        <v>40</v>
      </c>
      <c r="I3" s="8">
        <f>H3/16+G3/10</f>
        <v>2.5</v>
      </c>
      <c r="J3" s="9">
        <v>1</v>
      </c>
      <c r="K3" s="9">
        <v>4.5</v>
      </c>
      <c r="L3" s="9">
        <f>K3+J3/10</f>
        <v>4.5999999999999996</v>
      </c>
      <c r="M3" s="9"/>
      <c r="N3" s="9">
        <v>15</v>
      </c>
      <c r="O3" s="8">
        <f>N3/3+M3/10</f>
        <v>5</v>
      </c>
      <c r="P3" s="9">
        <v>1</v>
      </c>
      <c r="Q3" s="9">
        <v>8</v>
      </c>
      <c r="R3" s="8">
        <f>+Q3/13*5+P3/10</f>
        <v>3.1769230769230772</v>
      </c>
      <c r="S3" s="18">
        <f>(F3+I3+L3+O3+R3)/5</f>
        <v>3.405384615384615</v>
      </c>
    </row>
    <row r="4" spans="1:19" ht="15.75" x14ac:dyDescent="0.25">
      <c r="A4" s="1" t="s">
        <v>4</v>
      </c>
      <c r="B4" s="3" t="s">
        <v>5</v>
      </c>
      <c r="C4" s="4"/>
      <c r="D4" s="8">
        <v>4.5</v>
      </c>
      <c r="E4" s="8">
        <v>5</v>
      </c>
      <c r="F4" s="8">
        <f t="shared" ref="F4:F8" si="0">(D4+E4)/2+C4/10</f>
        <v>4.75</v>
      </c>
      <c r="G4" s="9">
        <v>1</v>
      </c>
      <c r="H4" s="10">
        <v>75</v>
      </c>
      <c r="I4" s="8">
        <f t="shared" ref="I4:I7" si="1">H4/16+G4/10</f>
        <v>4.7874999999999996</v>
      </c>
      <c r="J4" s="8">
        <v>2</v>
      </c>
      <c r="K4" s="8">
        <v>5</v>
      </c>
      <c r="L4" s="9">
        <f t="shared" ref="L4:L8" si="2">K4+J4/10</f>
        <v>5.2</v>
      </c>
      <c r="M4" s="8">
        <v>1</v>
      </c>
      <c r="N4" s="8">
        <v>11</v>
      </c>
      <c r="O4" s="8">
        <f t="shared" ref="O4:O8" si="3">N4/3+M4/10</f>
        <v>3.7666666666666666</v>
      </c>
      <c r="P4" s="8">
        <v>1</v>
      </c>
      <c r="Q4" s="8">
        <v>11</v>
      </c>
      <c r="R4" s="8">
        <f t="shared" ref="R4:R8" si="4">+Q4/13*5+P4/10</f>
        <v>4.3307692307692305</v>
      </c>
      <c r="S4" s="18">
        <f t="shared" ref="S4:S7" si="5">(F4+I4+L4+O4+R4)/5</f>
        <v>4.5669871794871799</v>
      </c>
    </row>
    <row r="5" spans="1:19" ht="15.75" x14ac:dyDescent="0.25">
      <c r="A5" s="1" t="s">
        <v>6</v>
      </c>
      <c r="B5" s="3" t="s">
        <v>7</v>
      </c>
      <c r="C5" s="4"/>
      <c r="D5" s="8">
        <v>2.5</v>
      </c>
      <c r="E5" s="8">
        <v>4</v>
      </c>
      <c r="F5" s="8">
        <f t="shared" si="0"/>
        <v>3.25</v>
      </c>
      <c r="G5" s="9">
        <v>1</v>
      </c>
      <c r="H5" s="10">
        <v>75</v>
      </c>
      <c r="I5" s="8">
        <f t="shared" si="1"/>
        <v>4.7874999999999996</v>
      </c>
      <c r="J5" s="8">
        <v>1</v>
      </c>
      <c r="K5" s="8">
        <v>4.3</v>
      </c>
      <c r="L5" s="9">
        <f t="shared" si="2"/>
        <v>4.3999999999999995</v>
      </c>
      <c r="M5" s="8">
        <v>1</v>
      </c>
      <c r="N5" s="8">
        <v>11</v>
      </c>
      <c r="O5" s="8">
        <f t="shared" si="3"/>
        <v>3.7666666666666666</v>
      </c>
      <c r="P5" s="8">
        <v>6</v>
      </c>
      <c r="Q5" s="8">
        <v>11</v>
      </c>
      <c r="R5" s="8">
        <f t="shared" si="4"/>
        <v>4.8307692307692305</v>
      </c>
      <c r="S5" s="18">
        <f t="shared" si="5"/>
        <v>4.2069871794871796</v>
      </c>
    </row>
    <row r="6" spans="1:19" ht="15.75" x14ac:dyDescent="0.25">
      <c r="A6" s="1" t="s">
        <v>8</v>
      </c>
      <c r="B6" s="3" t="s">
        <v>9</v>
      </c>
      <c r="C6" s="4">
        <v>1</v>
      </c>
      <c r="D6" s="8">
        <v>3</v>
      </c>
      <c r="E6" s="8">
        <v>1.5</v>
      </c>
      <c r="F6" s="8">
        <f t="shared" si="0"/>
        <v>2.35</v>
      </c>
      <c r="G6" s="8">
        <v>1</v>
      </c>
      <c r="H6" s="10">
        <v>60</v>
      </c>
      <c r="I6" s="8">
        <f t="shared" si="1"/>
        <v>3.85</v>
      </c>
      <c r="J6" s="8">
        <v>1</v>
      </c>
      <c r="K6" s="8">
        <v>4.5</v>
      </c>
      <c r="L6" s="9">
        <f t="shared" si="2"/>
        <v>4.5999999999999996</v>
      </c>
      <c r="M6" s="8">
        <v>1</v>
      </c>
      <c r="N6" s="8">
        <v>9</v>
      </c>
      <c r="O6" s="8">
        <f t="shared" si="3"/>
        <v>3.1</v>
      </c>
      <c r="P6" s="8">
        <v>3</v>
      </c>
      <c r="Q6" s="8">
        <v>10</v>
      </c>
      <c r="R6" s="8">
        <f t="shared" si="4"/>
        <v>4.1461538461538465</v>
      </c>
      <c r="S6" s="18">
        <f t="shared" si="5"/>
        <v>3.609230769230769</v>
      </c>
    </row>
    <row r="7" spans="1:19" ht="15.75" x14ac:dyDescent="0.25">
      <c r="A7" s="1" t="s">
        <v>10</v>
      </c>
      <c r="B7" s="3" t="s">
        <v>11</v>
      </c>
      <c r="C7" s="4"/>
      <c r="D7" s="8">
        <v>0.5</v>
      </c>
      <c r="E7" s="8">
        <v>1</v>
      </c>
      <c r="F7" s="8">
        <f>(D7+E7)/2+C7/10</f>
        <v>0.75</v>
      </c>
      <c r="G7" s="9"/>
      <c r="H7" s="10">
        <v>30</v>
      </c>
      <c r="I7" s="8">
        <f t="shared" si="1"/>
        <v>1.875</v>
      </c>
      <c r="J7" s="9">
        <v>1</v>
      </c>
      <c r="K7" s="8">
        <v>3.1</v>
      </c>
      <c r="L7" s="9">
        <f t="shared" si="2"/>
        <v>3.2</v>
      </c>
      <c r="M7" s="9"/>
      <c r="N7" s="8">
        <v>9</v>
      </c>
      <c r="O7" s="8">
        <f t="shared" si="3"/>
        <v>3</v>
      </c>
      <c r="P7" s="8">
        <v>1</v>
      </c>
      <c r="Q7" s="9">
        <v>1</v>
      </c>
      <c r="R7" s="8">
        <f t="shared" si="4"/>
        <v>0.48461538461538467</v>
      </c>
      <c r="S7" s="18">
        <f t="shared" si="5"/>
        <v>1.8619230769230768</v>
      </c>
    </row>
    <row r="8" spans="1:19" ht="15.75" x14ac:dyDescent="0.25">
      <c r="A8" s="1" t="s">
        <v>12</v>
      </c>
      <c r="B8" s="3" t="s">
        <v>13</v>
      </c>
      <c r="C8" s="4">
        <v>1</v>
      </c>
      <c r="D8" s="8">
        <v>3.5</v>
      </c>
      <c r="E8" s="8">
        <v>3.5</v>
      </c>
      <c r="F8" s="8">
        <f t="shared" si="0"/>
        <v>3.6</v>
      </c>
      <c r="G8" s="9"/>
      <c r="H8" s="9"/>
      <c r="I8" s="8">
        <v>3.2</v>
      </c>
      <c r="J8" s="9">
        <v>1</v>
      </c>
      <c r="K8" s="9">
        <v>4.8</v>
      </c>
      <c r="L8" s="9">
        <f t="shared" si="2"/>
        <v>4.8999999999999995</v>
      </c>
      <c r="M8" s="9"/>
      <c r="N8" s="9">
        <v>3</v>
      </c>
      <c r="O8" s="8">
        <f t="shared" si="3"/>
        <v>1</v>
      </c>
      <c r="P8" s="9">
        <v>1</v>
      </c>
      <c r="Q8" s="11">
        <v>8</v>
      </c>
      <c r="R8" s="8">
        <f t="shared" si="4"/>
        <v>3.1769230769230772</v>
      </c>
      <c r="S8" s="18">
        <f>(F8+I8+L8+O8+R8)/5</f>
        <v>3.1753846153846155</v>
      </c>
    </row>
  </sheetData>
  <mergeCells count="7">
    <mergeCell ref="P1:R1"/>
    <mergeCell ref="S1:S2"/>
    <mergeCell ref="A1:A2"/>
    <mergeCell ref="G1:I1"/>
    <mergeCell ref="J1:L1"/>
    <mergeCell ref="M1:O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2026-02-20T16:22:16Z</dcterms:created>
  <dcterms:modified xsi:type="dcterms:W3CDTF">2026-07-23T12:45:55Z</dcterms:modified>
</cp:coreProperties>
</file>