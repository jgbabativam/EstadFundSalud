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BBEC5D2D-5DFC-4821-B9CC-13AF40A00F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3" i="1"/>
  <c r="U4" i="1"/>
  <c r="U5" i="1"/>
  <c r="U6" i="1"/>
  <c r="U7" i="1"/>
  <c r="U8" i="1"/>
  <c r="U9" i="1"/>
  <c r="Y9" i="1" s="1"/>
  <c r="U10" i="1"/>
  <c r="U11" i="1"/>
  <c r="U12" i="1"/>
  <c r="U13" i="1"/>
  <c r="U14" i="1"/>
  <c r="U15" i="1"/>
  <c r="U16" i="1"/>
  <c r="U17" i="1"/>
  <c r="Y17" i="1" s="1"/>
  <c r="U18" i="1"/>
  <c r="U19" i="1"/>
  <c r="U20" i="1"/>
  <c r="U21" i="1"/>
  <c r="U22" i="1"/>
  <c r="U23" i="1"/>
  <c r="Y23" i="1" s="1"/>
  <c r="U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3" i="1"/>
  <c r="O3" i="1"/>
  <c r="L3" i="1"/>
  <c r="Y3" i="1" s="1"/>
  <c r="O22" i="1"/>
  <c r="O15" i="1"/>
  <c r="Y15" i="1" s="1"/>
  <c r="O23" i="1"/>
  <c r="O21" i="1"/>
  <c r="O20" i="1"/>
  <c r="O19" i="1"/>
  <c r="O18" i="1"/>
  <c r="O17" i="1"/>
  <c r="O16" i="1"/>
  <c r="Y16" i="1" s="1"/>
  <c r="O14" i="1"/>
  <c r="O13" i="1"/>
  <c r="O12" i="1"/>
  <c r="O11" i="1"/>
  <c r="O10" i="1"/>
  <c r="O9" i="1"/>
  <c r="O8" i="1"/>
  <c r="Y8" i="1" s="1"/>
  <c r="O7" i="1"/>
  <c r="Y7" i="1" s="1"/>
  <c r="O6" i="1"/>
  <c r="O5" i="1"/>
  <c r="O4" i="1"/>
  <c r="L23" i="1"/>
  <c r="L22" i="1"/>
  <c r="Y22" i="1" s="1"/>
  <c r="L21" i="1"/>
  <c r="Y21" i="1" s="1"/>
  <c r="L20" i="1"/>
  <c r="Y20" i="1" s="1"/>
  <c r="L19" i="1"/>
  <c r="Y19" i="1" s="1"/>
  <c r="L18" i="1"/>
  <c r="Y18" i="1" s="1"/>
  <c r="L17" i="1"/>
  <c r="L16" i="1"/>
  <c r="L15" i="1"/>
  <c r="L14" i="1"/>
  <c r="Y14" i="1" s="1"/>
  <c r="L13" i="1"/>
  <c r="Y13" i="1" s="1"/>
  <c r="L12" i="1"/>
  <c r="Y12" i="1" s="1"/>
  <c r="L11" i="1"/>
  <c r="Y11" i="1" s="1"/>
  <c r="L10" i="1"/>
  <c r="Y10" i="1" s="1"/>
  <c r="L9" i="1"/>
  <c r="L8" i="1"/>
  <c r="L7" i="1"/>
  <c r="L6" i="1"/>
  <c r="Y6" i="1" s="1"/>
  <c r="L5" i="1"/>
  <c r="Y5" i="1" s="1"/>
  <c r="L4" i="1"/>
  <c r="Y4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</calcChain>
</file>

<file path=xl/sharedStrings.xml><?xml version="1.0" encoding="utf-8"?>
<sst xmlns="http://schemas.openxmlformats.org/spreadsheetml/2006/main" count="154" uniqueCount="64">
  <si>
    <t>SEDE_EST</t>
  </si>
  <si>
    <t>COD_ASIGNATURA</t>
  </si>
  <si>
    <t>ASIGNATURA</t>
  </si>
  <si>
    <t>GRUPO</t>
  </si>
  <si>
    <t>DOCUMENTO</t>
  </si>
  <si>
    <t>CORREO_INSTITUCIONAL</t>
  </si>
  <si>
    <t>SEDE BOGOTÁ</t>
  </si>
  <si>
    <t>2029643</t>
  </si>
  <si>
    <t>Estadística fundamental para ciencias de la salud</t>
  </si>
  <si>
    <t>1</t>
  </si>
  <si>
    <t>1000077079</t>
  </si>
  <si>
    <t>gortizd@unal.edu.co</t>
  </si>
  <si>
    <t>1000935924</t>
  </si>
  <si>
    <t>dcastillot@unal.edu.co</t>
  </si>
  <si>
    <t>1003315952</t>
  </si>
  <si>
    <t>anyjimenezca@unal.edu.co</t>
  </si>
  <si>
    <t>1003540575</t>
  </si>
  <si>
    <t>emahernandez@unal.edu.co</t>
  </si>
  <si>
    <t>1003824274</t>
  </si>
  <si>
    <t>mamorenofo@unal.edu.co</t>
  </si>
  <si>
    <t>1007848749</t>
  </si>
  <si>
    <t>ytirador@unal.edu.co</t>
  </si>
  <si>
    <t>1011082490</t>
  </si>
  <si>
    <t>mvanegasre@unal.edu.co</t>
  </si>
  <si>
    <t>1014266422</t>
  </si>
  <si>
    <t>fcaceres@unal.edu.co</t>
  </si>
  <si>
    <t>1023366615</t>
  </si>
  <si>
    <t>pposadac@unal.edu.co</t>
  </si>
  <si>
    <t>1023369533</t>
  </si>
  <si>
    <t>anospinat@unal.edu.co</t>
  </si>
  <si>
    <t>1029141161</t>
  </si>
  <si>
    <t>insierram@unal.edu.co</t>
  </si>
  <si>
    <t>1032938294</t>
  </si>
  <si>
    <t>latrianab@unal.edu.co</t>
  </si>
  <si>
    <t>1033737257</t>
  </si>
  <si>
    <t>abarreroa@unal.edu.co</t>
  </si>
  <si>
    <t>1034397126</t>
  </si>
  <si>
    <t>paguerreror@unal.edu.co</t>
  </si>
  <si>
    <t>1034398937</t>
  </si>
  <si>
    <t>viricoc@unal.edu.co</t>
  </si>
  <si>
    <t>1034576999</t>
  </si>
  <si>
    <t>anortizsa@unal.edu.co</t>
  </si>
  <si>
    <t>1034659420</t>
  </si>
  <si>
    <t>mescobarmo@unal.edu.co</t>
  </si>
  <si>
    <t>1059119224</t>
  </si>
  <si>
    <t>jgiraldolop@unal.edu.co</t>
  </si>
  <si>
    <t>1076736434</t>
  </si>
  <si>
    <t>ygarnica@unal.edu.co</t>
  </si>
  <si>
    <t>1077852850</t>
  </si>
  <si>
    <t>lauramirezgu@unal.edu.co</t>
  </si>
  <si>
    <t>1104701841</t>
  </si>
  <si>
    <t>heramirezp@unal.edu.co</t>
  </si>
  <si>
    <t>BONO</t>
  </si>
  <si>
    <t>EXAMEN 1</t>
  </si>
  <si>
    <t>CONCEP</t>
  </si>
  <si>
    <t>APLIC</t>
  </si>
  <si>
    <t>NOTA</t>
  </si>
  <si>
    <t>EXAMEN 2</t>
  </si>
  <si>
    <t>Puntos</t>
  </si>
  <si>
    <t>EXAMEN 3</t>
  </si>
  <si>
    <t>EXAMEN 4</t>
  </si>
  <si>
    <t>PUNTOS</t>
  </si>
  <si>
    <t>EXAMEN 5</t>
  </si>
  <si>
    <t>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</si>
</sst>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8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706F6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1" fontId="0" fillId="0" borderId="2" xfId="0" applyNumberFormat="1" applyBorder="1"/>
    <xf numFmtId="0" fontId="0" fillId="3" borderId="2" xfId="0" applyFill="1" applyBorder="1"/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report.xls" TargetMode="External"/><Relationship Id="rId2" Type="http://schemas.openxmlformats.org/officeDocument/2006/relationships/externalLinkPath" Target="file:///C:\Users\giova\Downloads\report.xls" TargetMode="External"/><Relationship Id="rId1" Type="http://schemas.openxmlformats.org/officeDocument/2006/relationships/externalLinkPath" Target="/Users/giova/Downloads/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chivo"/>
    </sheetNames>
    <sheetDataSet>
      <sheetData sheetId="0">
        <row r="2">
          <cell r="B2" t="str">
            <v>1033737257</v>
          </cell>
        </row>
        <row r="3">
          <cell r="B3" t="str">
            <v>1001298205</v>
          </cell>
        </row>
        <row r="4">
          <cell r="B4" t="str">
            <v>1014266422</v>
          </cell>
        </row>
        <row r="5">
          <cell r="B5" t="str">
            <v>1000935924</v>
          </cell>
        </row>
        <row r="6">
          <cell r="B6" t="str">
            <v>1034659420</v>
          </cell>
        </row>
        <row r="7">
          <cell r="B7" t="str">
            <v>1076736434</v>
          </cell>
        </row>
        <row r="8">
          <cell r="B8" t="str">
            <v>1059119224</v>
          </cell>
        </row>
        <row r="9">
          <cell r="B9" t="str">
            <v>1034397126</v>
          </cell>
        </row>
        <row r="10">
          <cell r="B10" t="str">
            <v>1003540575</v>
          </cell>
        </row>
        <row r="11">
          <cell r="B11" t="str">
            <v>1003315952</v>
          </cell>
        </row>
        <row r="12">
          <cell r="B12" t="str">
            <v>1003824274</v>
          </cell>
        </row>
        <row r="13">
          <cell r="B13" t="str">
            <v>1000077079</v>
          </cell>
        </row>
        <row r="14">
          <cell r="B14" t="str">
            <v>1034576999</v>
          </cell>
        </row>
        <row r="15">
          <cell r="B15" t="str">
            <v>1023369533</v>
          </cell>
        </row>
        <row r="16">
          <cell r="B16" t="str">
            <v>1023366615</v>
          </cell>
        </row>
        <row r="17">
          <cell r="B17" t="str">
            <v>1077852850</v>
          </cell>
        </row>
        <row r="18">
          <cell r="B18" t="str">
            <v>1104701841</v>
          </cell>
        </row>
        <row r="19">
          <cell r="B19" t="str">
            <v>1034398937</v>
          </cell>
        </row>
        <row r="20">
          <cell r="B20" t="str">
            <v>1127080804</v>
          </cell>
        </row>
        <row r="21">
          <cell r="B21" t="str">
            <v>1029141161</v>
          </cell>
        </row>
        <row r="22">
          <cell r="B22" t="str">
            <v>1007848749</v>
          </cell>
        </row>
        <row r="23">
          <cell r="B23" t="str">
            <v>1032938294</v>
          </cell>
        </row>
        <row r="24">
          <cell r="B24" t="str">
            <v>1011082490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showGridLines="0" tabSelected="1" topLeftCell="E1" workbookViewId="0">
      <pane xSplit="4" ySplit="2" topLeftCell="I3" activePane="bottomRight" state="frozen"/>
      <selection activeCell="E1" sqref="E1"/>
      <selection pane="topRight" activeCell="K1" sqref="K1"/>
      <selection pane="bottomLeft" activeCell="E3" sqref="E3"/>
      <selection pane="bottomRight" activeCell="L22" sqref="L22"/>
    </sheetView>
  </sheetViews>
  <sheetFormatPr baseColWidth="10" defaultColWidth="9.140625" defaultRowHeight="15" x14ac:dyDescent="0.25"/>
  <cols>
    <col min="1" max="1" width="17.5703125" customWidth="1"/>
    <col min="2" max="2" width="21.28515625" hidden="1" customWidth="1"/>
    <col min="3" max="3" width="29" hidden="1" customWidth="1"/>
    <col min="4" max="4" width="21.28515625" hidden="1" customWidth="1"/>
    <col min="5" max="5" width="21.28515625" customWidth="1"/>
    <col min="6" max="6" width="29" hidden="1" customWidth="1"/>
    <col min="7" max="7" width="19" hidden="1" customWidth="1"/>
    <col min="8" max="8" width="0" hidden="1" customWidth="1"/>
    <col min="10" max="12" width="9.140625" customWidth="1"/>
    <col min="13" max="13" width="12" customWidth="1"/>
    <col min="14" max="19" width="9.140625" customWidth="1"/>
    <col min="22" max="22" width="6.42578125" bestFit="1" customWidth="1"/>
    <col min="25" max="25" width="16.85546875" customWidth="1"/>
  </cols>
  <sheetData>
    <row r="1" spans="1:25" x14ac:dyDescent="0.25">
      <c r="I1" s="15" t="s">
        <v>53</v>
      </c>
      <c r="J1" s="16"/>
      <c r="K1" s="16"/>
      <c r="L1" s="17"/>
      <c r="M1" s="3" t="s">
        <v>57</v>
      </c>
      <c r="N1" s="3"/>
      <c r="O1" s="3"/>
      <c r="P1" s="4" t="s">
        <v>59</v>
      </c>
      <c r="Q1" s="4"/>
      <c r="R1" s="4"/>
      <c r="S1" s="5" t="s">
        <v>60</v>
      </c>
      <c r="T1" s="5"/>
      <c r="U1" s="5"/>
      <c r="V1" s="6" t="s">
        <v>62</v>
      </c>
      <c r="W1" s="6"/>
      <c r="X1" s="6"/>
      <c r="Y1" s="22" t="s">
        <v>63</v>
      </c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s="7" t="s">
        <v>52</v>
      </c>
      <c r="J2" s="8" t="s">
        <v>54</v>
      </c>
      <c r="K2" s="8" t="s">
        <v>55</v>
      </c>
      <c r="L2" s="8" t="s">
        <v>56</v>
      </c>
      <c r="M2" s="18" t="s">
        <v>52</v>
      </c>
      <c r="N2" s="9" t="s">
        <v>58</v>
      </c>
      <c r="O2" s="9" t="s">
        <v>56</v>
      </c>
      <c r="P2" s="19" t="s">
        <v>52</v>
      </c>
      <c r="Q2" s="10" t="s">
        <v>61</v>
      </c>
      <c r="R2" s="10" t="s">
        <v>56</v>
      </c>
      <c r="S2" s="20" t="s">
        <v>52</v>
      </c>
      <c r="T2" s="20" t="s">
        <v>61</v>
      </c>
      <c r="U2" s="20" t="s">
        <v>56</v>
      </c>
      <c r="V2" s="21" t="s">
        <v>52</v>
      </c>
      <c r="W2" s="21" t="s">
        <v>61</v>
      </c>
      <c r="X2" s="21" t="s">
        <v>56</v>
      </c>
      <c r="Y2" s="22"/>
    </row>
    <row r="3" spans="1:25" ht="2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t="str">
        <f>F3&amp;","</f>
        <v>gortizd@unal.edu.co,</v>
      </c>
      <c r="H3" t="str">
        <f>VLOOKUP(E3,[1]archivo!$B$2:$B$24,1,0)</f>
        <v>1000077079</v>
      </c>
      <c r="I3" s="11"/>
      <c r="J3" s="12">
        <v>4.5</v>
      </c>
      <c r="K3" s="12">
        <v>5</v>
      </c>
      <c r="L3" s="12">
        <f>(J3+K3)/2+I3/10</f>
        <v>4.75</v>
      </c>
      <c r="M3" s="11"/>
      <c r="N3" s="13">
        <v>45</v>
      </c>
      <c r="O3" s="12">
        <f>N3/16+M3/10</f>
        <v>2.8125</v>
      </c>
      <c r="P3" s="11"/>
      <c r="Q3" s="12">
        <v>5</v>
      </c>
      <c r="R3" s="12">
        <f>Q3+P3/10</f>
        <v>5</v>
      </c>
      <c r="S3" s="11"/>
      <c r="T3" s="11">
        <v>9</v>
      </c>
      <c r="U3" s="12">
        <f>T3/3+S3/10</f>
        <v>3</v>
      </c>
      <c r="V3" s="11"/>
      <c r="W3" s="11">
        <v>8</v>
      </c>
      <c r="X3" s="12">
        <f>+W3/13*5+V3/10</f>
        <v>3.0769230769230771</v>
      </c>
      <c r="Y3" s="23">
        <f>+(L3+O3+R3+U3+X3)/5</f>
        <v>3.7278846153846152</v>
      </c>
    </row>
    <row r="4" spans="1:25" ht="21" x14ac:dyDescent="0.35">
      <c r="A4" s="2" t="s">
        <v>6</v>
      </c>
      <c r="B4" s="2" t="s">
        <v>7</v>
      </c>
      <c r="C4" s="2" t="s">
        <v>8</v>
      </c>
      <c r="D4" s="2" t="s">
        <v>9</v>
      </c>
      <c r="E4" s="2" t="s">
        <v>12</v>
      </c>
      <c r="F4" s="2" t="s">
        <v>13</v>
      </c>
      <c r="G4" t="str">
        <f t="shared" ref="G4:G23" si="0">F4&amp;","</f>
        <v>dcastillot@unal.edu.co,</v>
      </c>
      <c r="H4" t="str">
        <f>VLOOKUP(E4,[1]archivo!$B$2:$B$24,1,0)</f>
        <v>1000935924</v>
      </c>
      <c r="I4" s="11"/>
      <c r="J4" s="12">
        <v>5</v>
      </c>
      <c r="K4" s="12">
        <v>4</v>
      </c>
      <c r="L4" s="12">
        <f>(J4+K4)/2+I4/10</f>
        <v>4.5</v>
      </c>
      <c r="M4" s="11">
        <v>1</v>
      </c>
      <c r="N4" s="13">
        <v>65</v>
      </c>
      <c r="O4" s="12">
        <f t="shared" ref="O4:O15" si="1">N4/16+M4/10</f>
        <v>4.1624999999999996</v>
      </c>
      <c r="P4" s="13">
        <v>1</v>
      </c>
      <c r="Q4" s="12">
        <v>4.8</v>
      </c>
      <c r="R4" s="12">
        <f t="shared" ref="R4:R23" si="2">Q4+P4/10</f>
        <v>4.8999999999999995</v>
      </c>
      <c r="S4" s="11"/>
      <c r="T4" s="11">
        <v>12</v>
      </c>
      <c r="U4" s="12">
        <f t="shared" ref="U4:U23" si="3">T4/3+S4/10</f>
        <v>4</v>
      </c>
      <c r="V4" s="11"/>
      <c r="W4" s="11">
        <v>7</v>
      </c>
      <c r="X4" s="12">
        <f t="shared" ref="X4:X23" si="4">+W4/13*5+V4/10</f>
        <v>2.6923076923076921</v>
      </c>
      <c r="Y4" s="23">
        <f t="shared" ref="Y4:Y23" si="5">+(L4+O4+R4+U4+X4)/5</f>
        <v>4.0509615384615385</v>
      </c>
    </row>
    <row r="5" spans="1:25" ht="21" x14ac:dyDescent="0.35">
      <c r="A5" s="2" t="s">
        <v>6</v>
      </c>
      <c r="B5" s="2" t="s">
        <v>7</v>
      </c>
      <c r="C5" s="2" t="s">
        <v>8</v>
      </c>
      <c r="D5" s="2" t="s">
        <v>9</v>
      </c>
      <c r="E5" s="2" t="s">
        <v>14</v>
      </c>
      <c r="F5" s="2" t="s">
        <v>15</v>
      </c>
      <c r="G5" t="str">
        <f t="shared" si="0"/>
        <v>anyjimenezca@unal.edu.co,</v>
      </c>
      <c r="H5" t="str">
        <f>VLOOKUP(E5,[1]archivo!$B$2:$B$24,1,0)</f>
        <v>1003315952</v>
      </c>
      <c r="I5" s="11"/>
      <c r="J5" s="12">
        <v>3</v>
      </c>
      <c r="K5" s="12">
        <v>2.5</v>
      </c>
      <c r="L5" s="12">
        <f t="shared" ref="L5:L23" si="6">(J5+K5)/2+I5/10</f>
        <v>2.75</v>
      </c>
      <c r="M5" s="11">
        <v>2</v>
      </c>
      <c r="N5" s="13">
        <v>75</v>
      </c>
      <c r="O5" s="12">
        <f t="shared" si="1"/>
        <v>4.8875000000000002</v>
      </c>
      <c r="P5" s="13">
        <v>1</v>
      </c>
      <c r="Q5" s="12">
        <v>4.5</v>
      </c>
      <c r="R5" s="12">
        <f t="shared" si="2"/>
        <v>4.5999999999999996</v>
      </c>
      <c r="S5" s="11">
        <v>1</v>
      </c>
      <c r="T5" s="11">
        <v>15</v>
      </c>
      <c r="U5" s="12">
        <f t="shared" si="3"/>
        <v>5.0999999999999996</v>
      </c>
      <c r="V5" s="11">
        <v>2</v>
      </c>
      <c r="W5" s="11">
        <v>9</v>
      </c>
      <c r="X5" s="12">
        <f t="shared" si="4"/>
        <v>3.6615384615384619</v>
      </c>
      <c r="Y5" s="23">
        <f t="shared" si="5"/>
        <v>4.1998076923076919</v>
      </c>
    </row>
    <row r="6" spans="1:25" ht="21" x14ac:dyDescent="0.35">
      <c r="A6" s="2" t="s">
        <v>6</v>
      </c>
      <c r="B6" s="2" t="s">
        <v>7</v>
      </c>
      <c r="C6" s="2" t="s">
        <v>8</v>
      </c>
      <c r="D6" s="2" t="s">
        <v>9</v>
      </c>
      <c r="E6" s="2" t="s">
        <v>16</v>
      </c>
      <c r="F6" s="2" t="s">
        <v>17</v>
      </c>
      <c r="G6" t="str">
        <f t="shared" si="0"/>
        <v>emahernandez@unal.edu.co,</v>
      </c>
      <c r="H6" t="str">
        <f>VLOOKUP(E6,[1]archivo!$B$2:$B$24,1,0)</f>
        <v>1003540575</v>
      </c>
      <c r="I6" s="11"/>
      <c r="J6" s="12">
        <v>2</v>
      </c>
      <c r="K6" s="12">
        <v>3</v>
      </c>
      <c r="L6" s="12">
        <f t="shared" si="6"/>
        <v>2.5</v>
      </c>
      <c r="M6" s="11"/>
      <c r="N6" s="13">
        <v>20</v>
      </c>
      <c r="O6" s="12">
        <f t="shared" si="1"/>
        <v>1.25</v>
      </c>
      <c r="P6" s="11"/>
      <c r="Q6" s="12">
        <v>3.8</v>
      </c>
      <c r="R6" s="12">
        <f t="shared" si="2"/>
        <v>3.8</v>
      </c>
      <c r="S6" s="11"/>
      <c r="T6" s="11">
        <v>8</v>
      </c>
      <c r="U6" s="12">
        <f t="shared" si="3"/>
        <v>2.6666666666666665</v>
      </c>
      <c r="V6" s="11"/>
      <c r="W6" s="14">
        <v>2</v>
      </c>
      <c r="X6" s="12">
        <v>1</v>
      </c>
      <c r="Y6" s="23">
        <f t="shared" si="5"/>
        <v>2.2433333333333332</v>
      </c>
    </row>
    <row r="7" spans="1:25" ht="21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18</v>
      </c>
      <c r="F7" s="2" t="s">
        <v>19</v>
      </c>
      <c r="G7" t="str">
        <f t="shared" si="0"/>
        <v>mamorenofo@unal.edu.co,</v>
      </c>
      <c r="H7" t="str">
        <f>VLOOKUP(E7,[1]archivo!$B$2:$B$24,1,0)</f>
        <v>1003824274</v>
      </c>
      <c r="I7" s="11"/>
      <c r="J7" s="12">
        <v>4</v>
      </c>
      <c r="K7" s="12">
        <v>5</v>
      </c>
      <c r="L7" s="12">
        <f t="shared" si="6"/>
        <v>4.5</v>
      </c>
      <c r="M7" s="11"/>
      <c r="N7" s="13">
        <v>80</v>
      </c>
      <c r="O7" s="12">
        <f t="shared" si="1"/>
        <v>5</v>
      </c>
      <c r="P7" s="11"/>
      <c r="Q7" s="12">
        <v>4.8</v>
      </c>
      <c r="R7" s="12">
        <f t="shared" si="2"/>
        <v>4.8</v>
      </c>
      <c r="S7" s="11">
        <v>1</v>
      </c>
      <c r="T7" s="11">
        <v>13</v>
      </c>
      <c r="U7" s="12">
        <f t="shared" si="3"/>
        <v>4.4333333333333327</v>
      </c>
      <c r="V7" s="11"/>
      <c r="W7" s="11">
        <v>11</v>
      </c>
      <c r="X7" s="12">
        <f t="shared" si="4"/>
        <v>4.2307692307692308</v>
      </c>
      <c r="Y7" s="23">
        <f t="shared" si="5"/>
        <v>4.5928205128205128</v>
      </c>
    </row>
    <row r="8" spans="1:25" ht="21" x14ac:dyDescent="0.35">
      <c r="A8" s="2" t="s">
        <v>6</v>
      </c>
      <c r="B8" s="2" t="s">
        <v>7</v>
      </c>
      <c r="C8" s="2" t="s">
        <v>8</v>
      </c>
      <c r="D8" s="2" t="s">
        <v>9</v>
      </c>
      <c r="E8" s="2" t="s">
        <v>20</v>
      </c>
      <c r="F8" s="2" t="s">
        <v>21</v>
      </c>
      <c r="G8" t="str">
        <f t="shared" si="0"/>
        <v>ytirador@unal.edu.co,</v>
      </c>
      <c r="H8" t="str">
        <f>VLOOKUP(E8,[1]archivo!$B$2:$B$24,1,0)</f>
        <v>1007848749</v>
      </c>
      <c r="I8" s="11">
        <v>1</v>
      </c>
      <c r="J8" s="12">
        <v>3</v>
      </c>
      <c r="K8" s="12">
        <v>2.5</v>
      </c>
      <c r="L8" s="12">
        <f t="shared" si="6"/>
        <v>2.85</v>
      </c>
      <c r="M8" s="12">
        <v>1</v>
      </c>
      <c r="N8" s="13">
        <v>50</v>
      </c>
      <c r="O8" s="12">
        <f t="shared" si="1"/>
        <v>3.2250000000000001</v>
      </c>
      <c r="P8" s="13">
        <v>1</v>
      </c>
      <c r="Q8" s="12">
        <v>4.8</v>
      </c>
      <c r="R8" s="12">
        <f t="shared" si="2"/>
        <v>4.8999999999999995</v>
      </c>
      <c r="S8" s="13">
        <v>1</v>
      </c>
      <c r="T8" s="12">
        <v>10</v>
      </c>
      <c r="U8" s="12">
        <f t="shared" si="3"/>
        <v>3.4333333333333336</v>
      </c>
      <c r="V8" s="11"/>
      <c r="W8" s="14">
        <v>7</v>
      </c>
      <c r="X8" s="12">
        <f t="shared" si="4"/>
        <v>2.6923076923076921</v>
      </c>
      <c r="Y8" s="23">
        <f t="shared" si="5"/>
        <v>3.4201282051282051</v>
      </c>
    </row>
    <row r="9" spans="1:25" ht="21" x14ac:dyDescent="0.35">
      <c r="A9" s="2" t="s">
        <v>6</v>
      </c>
      <c r="B9" s="2" t="s">
        <v>7</v>
      </c>
      <c r="C9" s="2" t="s">
        <v>8</v>
      </c>
      <c r="D9" s="2" t="s">
        <v>9</v>
      </c>
      <c r="E9" s="2" t="s">
        <v>22</v>
      </c>
      <c r="F9" s="2" t="s">
        <v>23</v>
      </c>
      <c r="G9" t="str">
        <f t="shared" si="0"/>
        <v>mvanegasre@unal.edu.co,</v>
      </c>
      <c r="H9" t="str">
        <f>VLOOKUP(E9,[1]archivo!$B$2:$B$24,1,0)</f>
        <v>1011082490</v>
      </c>
      <c r="I9" s="11"/>
      <c r="J9" s="12">
        <v>3.5</v>
      </c>
      <c r="K9" s="12">
        <v>5</v>
      </c>
      <c r="L9" s="12">
        <f t="shared" si="6"/>
        <v>4.25</v>
      </c>
      <c r="M9" s="11"/>
      <c r="N9" s="13">
        <v>80</v>
      </c>
      <c r="O9" s="12">
        <f t="shared" si="1"/>
        <v>5</v>
      </c>
      <c r="P9" s="13">
        <v>1</v>
      </c>
      <c r="Q9" s="12">
        <v>4.8</v>
      </c>
      <c r="R9" s="12">
        <f t="shared" si="2"/>
        <v>4.8999999999999995</v>
      </c>
      <c r="S9" s="11">
        <v>1</v>
      </c>
      <c r="T9" s="11">
        <v>14</v>
      </c>
      <c r="U9" s="12">
        <f t="shared" si="3"/>
        <v>4.7666666666666666</v>
      </c>
      <c r="V9" s="11">
        <v>1</v>
      </c>
      <c r="W9" s="11">
        <v>12</v>
      </c>
      <c r="X9" s="12">
        <f t="shared" si="4"/>
        <v>4.7153846153846155</v>
      </c>
      <c r="Y9" s="23">
        <f t="shared" si="5"/>
        <v>4.7264102564102561</v>
      </c>
    </row>
    <row r="10" spans="1:25" ht="21" x14ac:dyDescent="0.35">
      <c r="A10" s="2" t="s">
        <v>6</v>
      </c>
      <c r="B10" s="2" t="s">
        <v>7</v>
      </c>
      <c r="C10" s="2" t="s">
        <v>8</v>
      </c>
      <c r="D10" s="2" t="s">
        <v>9</v>
      </c>
      <c r="E10" s="2" t="s">
        <v>24</v>
      </c>
      <c r="F10" s="2" t="s">
        <v>25</v>
      </c>
      <c r="G10" t="str">
        <f t="shared" si="0"/>
        <v>fcaceres@unal.edu.co,</v>
      </c>
      <c r="H10" t="str">
        <f>VLOOKUP(E10,[1]archivo!$B$2:$B$24,1,0)</f>
        <v>1014266422</v>
      </c>
      <c r="I10" s="11"/>
      <c r="J10" s="12">
        <v>5</v>
      </c>
      <c r="K10" s="12">
        <v>5</v>
      </c>
      <c r="L10" s="12">
        <f t="shared" si="6"/>
        <v>5</v>
      </c>
      <c r="M10" s="11">
        <v>1</v>
      </c>
      <c r="N10" s="13">
        <v>70</v>
      </c>
      <c r="O10" s="12">
        <f t="shared" si="1"/>
        <v>4.4749999999999996</v>
      </c>
      <c r="P10" s="11"/>
      <c r="Q10" s="12">
        <v>4.3</v>
      </c>
      <c r="R10" s="12">
        <f t="shared" si="2"/>
        <v>4.3</v>
      </c>
      <c r="S10" s="11"/>
      <c r="T10" s="11">
        <v>9</v>
      </c>
      <c r="U10" s="12">
        <f t="shared" si="3"/>
        <v>3</v>
      </c>
      <c r="V10" s="11"/>
      <c r="W10" s="11">
        <v>10</v>
      </c>
      <c r="X10" s="12">
        <f t="shared" si="4"/>
        <v>3.8461538461538463</v>
      </c>
      <c r="Y10" s="23">
        <f t="shared" si="5"/>
        <v>4.1242307692307687</v>
      </c>
    </row>
    <row r="11" spans="1:25" ht="21" x14ac:dyDescent="0.35">
      <c r="A11" s="2" t="s">
        <v>6</v>
      </c>
      <c r="B11" s="2" t="s">
        <v>7</v>
      </c>
      <c r="C11" s="2" t="s">
        <v>8</v>
      </c>
      <c r="D11" s="2" t="s">
        <v>9</v>
      </c>
      <c r="E11" s="2" t="s">
        <v>26</v>
      </c>
      <c r="F11" s="2" t="s">
        <v>27</v>
      </c>
      <c r="G11" t="str">
        <f t="shared" si="0"/>
        <v>pposadac@unal.edu.co,</v>
      </c>
      <c r="H11" t="str">
        <f>VLOOKUP(E11,[1]archivo!$B$2:$B$24,1,0)</f>
        <v>1023366615</v>
      </c>
      <c r="I11" s="11"/>
      <c r="J11" s="12">
        <v>3.5</v>
      </c>
      <c r="K11" s="12">
        <v>3</v>
      </c>
      <c r="L11" s="12">
        <f t="shared" si="6"/>
        <v>3.25</v>
      </c>
      <c r="M11" s="11"/>
      <c r="N11" s="13">
        <v>60</v>
      </c>
      <c r="O11" s="12">
        <f t="shared" si="1"/>
        <v>3.75</v>
      </c>
      <c r="P11" s="11">
        <v>1</v>
      </c>
      <c r="Q11" s="12">
        <v>5</v>
      </c>
      <c r="R11" s="12">
        <f t="shared" si="2"/>
        <v>5.0999999999999996</v>
      </c>
      <c r="S11" s="11"/>
      <c r="T11" s="11">
        <v>13</v>
      </c>
      <c r="U11" s="12">
        <f t="shared" si="3"/>
        <v>4.333333333333333</v>
      </c>
      <c r="V11" s="11">
        <v>1</v>
      </c>
      <c r="W11" s="11">
        <v>10</v>
      </c>
      <c r="X11" s="12">
        <f t="shared" si="4"/>
        <v>3.9461538461538463</v>
      </c>
      <c r="Y11" s="23">
        <f t="shared" si="5"/>
        <v>4.0758974358974358</v>
      </c>
    </row>
    <row r="12" spans="1:25" ht="21" x14ac:dyDescent="0.35">
      <c r="A12" s="2" t="s">
        <v>6</v>
      </c>
      <c r="B12" s="2" t="s">
        <v>7</v>
      </c>
      <c r="C12" s="2" t="s">
        <v>8</v>
      </c>
      <c r="D12" s="2" t="s">
        <v>9</v>
      </c>
      <c r="E12" s="2" t="s">
        <v>28</v>
      </c>
      <c r="F12" s="2" t="s">
        <v>29</v>
      </c>
      <c r="G12" t="str">
        <f t="shared" si="0"/>
        <v>anospinat@unal.edu.co,</v>
      </c>
      <c r="H12" t="str">
        <f>VLOOKUP(E12,[1]archivo!$B$2:$B$24,1,0)</f>
        <v>1023369533</v>
      </c>
      <c r="I12" s="11"/>
      <c r="J12" s="12">
        <v>4.5</v>
      </c>
      <c r="K12" s="12">
        <v>4.5</v>
      </c>
      <c r="L12" s="12">
        <f t="shared" si="6"/>
        <v>4.5</v>
      </c>
      <c r="M12" s="11"/>
      <c r="N12" s="13">
        <v>65</v>
      </c>
      <c r="O12" s="12">
        <f t="shared" si="1"/>
        <v>4.0625</v>
      </c>
      <c r="P12" s="11">
        <v>1</v>
      </c>
      <c r="Q12" s="12">
        <v>4.5</v>
      </c>
      <c r="R12" s="12">
        <f t="shared" si="2"/>
        <v>4.5999999999999996</v>
      </c>
      <c r="S12" s="11">
        <v>1</v>
      </c>
      <c r="T12" s="11">
        <v>11</v>
      </c>
      <c r="U12" s="12">
        <f t="shared" si="3"/>
        <v>3.7666666666666666</v>
      </c>
      <c r="V12" s="11"/>
      <c r="W12" s="11">
        <v>13</v>
      </c>
      <c r="X12" s="12">
        <f t="shared" si="4"/>
        <v>5</v>
      </c>
      <c r="Y12" s="23">
        <f t="shared" si="5"/>
        <v>4.3858333333333333</v>
      </c>
    </row>
    <row r="13" spans="1:25" ht="21" x14ac:dyDescent="0.35">
      <c r="A13" s="2" t="s">
        <v>6</v>
      </c>
      <c r="B13" s="2" t="s">
        <v>7</v>
      </c>
      <c r="C13" s="2" t="s">
        <v>8</v>
      </c>
      <c r="D13" s="2" t="s">
        <v>9</v>
      </c>
      <c r="E13" s="2" t="s">
        <v>30</v>
      </c>
      <c r="F13" s="2" t="s">
        <v>31</v>
      </c>
      <c r="G13" t="str">
        <f t="shared" si="0"/>
        <v>insierram@unal.edu.co,</v>
      </c>
      <c r="H13" t="str">
        <f>VLOOKUP(E13,[1]archivo!$B$2:$B$24,1,0)</f>
        <v>1029141161</v>
      </c>
      <c r="I13" s="11"/>
      <c r="J13" s="12">
        <v>3.5</v>
      </c>
      <c r="K13" s="12">
        <v>4</v>
      </c>
      <c r="L13" s="12">
        <f t="shared" si="6"/>
        <v>3.75</v>
      </c>
      <c r="M13" s="11">
        <v>1</v>
      </c>
      <c r="N13" s="13">
        <v>70</v>
      </c>
      <c r="O13" s="12">
        <f t="shared" si="1"/>
        <v>4.4749999999999996</v>
      </c>
      <c r="P13" s="13">
        <v>1</v>
      </c>
      <c r="Q13" s="12">
        <v>4.8</v>
      </c>
      <c r="R13" s="12">
        <f t="shared" si="2"/>
        <v>4.8999999999999995</v>
      </c>
      <c r="S13" s="11"/>
      <c r="T13" s="11">
        <v>15</v>
      </c>
      <c r="U13" s="12">
        <f t="shared" si="3"/>
        <v>5</v>
      </c>
      <c r="V13" s="11">
        <v>1</v>
      </c>
      <c r="W13" s="11">
        <v>11</v>
      </c>
      <c r="X13" s="12">
        <f t="shared" si="4"/>
        <v>4.3307692307692305</v>
      </c>
      <c r="Y13" s="23">
        <f t="shared" si="5"/>
        <v>4.4911538461538463</v>
      </c>
    </row>
    <row r="14" spans="1:25" ht="21" x14ac:dyDescent="0.35">
      <c r="A14" s="2" t="s">
        <v>6</v>
      </c>
      <c r="B14" s="2" t="s">
        <v>7</v>
      </c>
      <c r="C14" s="2" t="s">
        <v>8</v>
      </c>
      <c r="D14" s="2" t="s">
        <v>9</v>
      </c>
      <c r="E14" s="2" t="s">
        <v>32</v>
      </c>
      <c r="F14" s="2" t="s">
        <v>33</v>
      </c>
      <c r="G14" t="str">
        <f t="shared" si="0"/>
        <v>latrianab@unal.edu.co,</v>
      </c>
      <c r="H14" t="str">
        <f>VLOOKUP(E14,[1]archivo!$B$2:$B$24,1,0)</f>
        <v>1032938294</v>
      </c>
      <c r="I14" s="11"/>
      <c r="J14" s="12">
        <v>4.5</v>
      </c>
      <c r="K14" s="12">
        <v>2.5</v>
      </c>
      <c r="L14" s="12">
        <f t="shared" si="6"/>
        <v>3.5</v>
      </c>
      <c r="M14" s="11"/>
      <c r="N14" s="13">
        <v>70</v>
      </c>
      <c r="O14" s="12">
        <f t="shared" si="1"/>
        <v>4.375</v>
      </c>
      <c r="P14" s="11">
        <v>1</v>
      </c>
      <c r="Q14" s="12">
        <v>4.8</v>
      </c>
      <c r="R14" s="12">
        <f t="shared" si="2"/>
        <v>4.8999999999999995</v>
      </c>
      <c r="S14" s="11"/>
      <c r="T14" s="11">
        <v>14</v>
      </c>
      <c r="U14" s="12">
        <f t="shared" si="3"/>
        <v>4.666666666666667</v>
      </c>
      <c r="V14" s="11"/>
      <c r="W14" s="11">
        <v>12</v>
      </c>
      <c r="X14" s="12">
        <f t="shared" si="4"/>
        <v>4.6153846153846159</v>
      </c>
      <c r="Y14" s="23">
        <f t="shared" si="5"/>
        <v>4.4114102564102566</v>
      </c>
    </row>
    <row r="15" spans="1:25" ht="21" x14ac:dyDescent="0.35">
      <c r="A15" s="2" t="s">
        <v>6</v>
      </c>
      <c r="B15" s="2" t="s">
        <v>7</v>
      </c>
      <c r="C15" s="2" t="s">
        <v>8</v>
      </c>
      <c r="D15" s="2" t="s">
        <v>9</v>
      </c>
      <c r="E15" s="2" t="s">
        <v>34</v>
      </c>
      <c r="F15" s="2" t="s">
        <v>35</v>
      </c>
      <c r="G15" t="str">
        <f t="shared" si="0"/>
        <v>abarreroa@unal.edu.co,</v>
      </c>
      <c r="H15" t="str">
        <f>VLOOKUP(E15,[1]archivo!$B$2:$B$24,1,0)</f>
        <v>1033737257</v>
      </c>
      <c r="I15" s="11"/>
      <c r="J15" s="12">
        <v>4</v>
      </c>
      <c r="K15" s="12">
        <v>0</v>
      </c>
      <c r="L15" s="12">
        <f t="shared" si="6"/>
        <v>2</v>
      </c>
      <c r="M15" s="11"/>
      <c r="N15" s="13">
        <v>0</v>
      </c>
      <c r="O15" s="12">
        <f t="shared" si="1"/>
        <v>0</v>
      </c>
      <c r="P15" s="11"/>
      <c r="Q15" s="12"/>
      <c r="R15" s="12">
        <f t="shared" si="2"/>
        <v>0</v>
      </c>
      <c r="S15" s="11"/>
      <c r="T15" s="11"/>
      <c r="U15" s="12">
        <f t="shared" si="3"/>
        <v>0</v>
      </c>
      <c r="V15" s="11"/>
      <c r="W15" s="11">
        <v>0</v>
      </c>
      <c r="X15" s="12">
        <f t="shared" si="4"/>
        <v>0</v>
      </c>
      <c r="Y15" s="23">
        <f t="shared" si="5"/>
        <v>0.4</v>
      </c>
    </row>
    <row r="16" spans="1:25" ht="21" x14ac:dyDescent="0.35">
      <c r="A16" s="2" t="s">
        <v>6</v>
      </c>
      <c r="B16" s="2" t="s">
        <v>7</v>
      </c>
      <c r="C16" s="2" t="s">
        <v>8</v>
      </c>
      <c r="D16" s="2" t="s">
        <v>9</v>
      </c>
      <c r="E16" s="2" t="s">
        <v>36</v>
      </c>
      <c r="F16" s="2" t="s">
        <v>37</v>
      </c>
      <c r="G16" t="str">
        <f t="shared" si="0"/>
        <v>paguerreror@unal.edu.co,</v>
      </c>
      <c r="H16" t="str">
        <f>VLOOKUP(E16,[1]archivo!$B$2:$B$24,1,0)</f>
        <v>1034397126</v>
      </c>
      <c r="I16" s="11">
        <v>1</v>
      </c>
      <c r="J16" s="12">
        <v>3</v>
      </c>
      <c r="K16" s="12">
        <v>4</v>
      </c>
      <c r="L16" s="12">
        <f t="shared" si="6"/>
        <v>3.6</v>
      </c>
      <c r="M16" s="11"/>
      <c r="N16" s="13">
        <v>65</v>
      </c>
      <c r="O16" s="12">
        <f t="shared" ref="O16:O22" si="7">N16/16+M16/10</f>
        <v>4.0625</v>
      </c>
      <c r="P16" s="11">
        <v>1</v>
      </c>
      <c r="Q16" s="12">
        <v>4.3</v>
      </c>
      <c r="R16" s="12">
        <f t="shared" si="2"/>
        <v>4.3999999999999995</v>
      </c>
      <c r="S16" s="11"/>
      <c r="T16" s="11">
        <v>14</v>
      </c>
      <c r="U16" s="12">
        <f t="shared" si="3"/>
        <v>4.666666666666667</v>
      </c>
      <c r="V16" s="11"/>
      <c r="W16" s="11">
        <v>13</v>
      </c>
      <c r="X16" s="12">
        <f t="shared" si="4"/>
        <v>5</v>
      </c>
      <c r="Y16" s="23">
        <f t="shared" si="5"/>
        <v>4.3458333333333332</v>
      </c>
    </row>
    <row r="17" spans="1:25" ht="21" x14ac:dyDescent="0.35">
      <c r="A17" s="2" t="s">
        <v>6</v>
      </c>
      <c r="B17" s="2" t="s">
        <v>7</v>
      </c>
      <c r="C17" s="2" t="s">
        <v>8</v>
      </c>
      <c r="D17" s="2" t="s">
        <v>9</v>
      </c>
      <c r="E17" s="2" t="s">
        <v>38</v>
      </c>
      <c r="F17" s="2" t="s">
        <v>39</v>
      </c>
      <c r="G17" t="str">
        <f t="shared" si="0"/>
        <v>viricoc@unal.edu.co,</v>
      </c>
      <c r="H17" t="str">
        <f>VLOOKUP(E17,[1]archivo!$B$2:$B$24,1,0)</f>
        <v>1034398937</v>
      </c>
      <c r="I17" s="11"/>
      <c r="J17" s="12">
        <v>5</v>
      </c>
      <c r="K17" s="12">
        <v>4</v>
      </c>
      <c r="L17" s="12">
        <f t="shared" si="6"/>
        <v>4.5</v>
      </c>
      <c r="M17" s="11"/>
      <c r="N17" s="13">
        <v>70</v>
      </c>
      <c r="O17" s="12">
        <f t="shared" si="7"/>
        <v>4.375</v>
      </c>
      <c r="P17" s="11"/>
      <c r="Q17" s="12">
        <v>4.8</v>
      </c>
      <c r="R17" s="12">
        <f t="shared" si="2"/>
        <v>4.8</v>
      </c>
      <c r="S17" s="11"/>
      <c r="T17" s="11">
        <v>10</v>
      </c>
      <c r="U17" s="12">
        <f t="shared" si="3"/>
        <v>3.3333333333333335</v>
      </c>
      <c r="V17" s="11"/>
      <c r="W17" s="11">
        <v>11</v>
      </c>
      <c r="X17" s="12">
        <f t="shared" si="4"/>
        <v>4.2307692307692308</v>
      </c>
      <c r="Y17" s="23">
        <f t="shared" si="5"/>
        <v>4.2478205128205122</v>
      </c>
    </row>
    <row r="18" spans="1:25" ht="21" x14ac:dyDescent="0.35">
      <c r="A18" s="2" t="s">
        <v>6</v>
      </c>
      <c r="B18" s="2" t="s">
        <v>7</v>
      </c>
      <c r="C18" s="2" t="s">
        <v>8</v>
      </c>
      <c r="D18" s="2" t="s">
        <v>9</v>
      </c>
      <c r="E18" s="2" t="s">
        <v>40</v>
      </c>
      <c r="F18" s="2" t="s">
        <v>41</v>
      </c>
      <c r="G18" t="str">
        <f t="shared" si="0"/>
        <v>anortizsa@unal.edu.co,</v>
      </c>
      <c r="H18" t="str">
        <f>VLOOKUP(E18,[1]archivo!$B$2:$B$24,1,0)</f>
        <v>1034576999</v>
      </c>
      <c r="I18" s="11"/>
      <c r="J18" s="12">
        <v>3.5</v>
      </c>
      <c r="K18" s="12">
        <v>3.5</v>
      </c>
      <c r="L18" s="12">
        <f t="shared" si="6"/>
        <v>3.5</v>
      </c>
      <c r="M18" s="11">
        <v>1</v>
      </c>
      <c r="N18" s="13">
        <v>50</v>
      </c>
      <c r="O18" s="12">
        <f t="shared" si="7"/>
        <v>3.2250000000000001</v>
      </c>
      <c r="P18" s="13">
        <v>1</v>
      </c>
      <c r="Q18" s="12">
        <v>4.8</v>
      </c>
      <c r="R18" s="12">
        <f t="shared" si="2"/>
        <v>4.8999999999999995</v>
      </c>
      <c r="S18" s="11"/>
      <c r="T18" s="11">
        <v>8</v>
      </c>
      <c r="U18" s="12">
        <f t="shared" si="3"/>
        <v>2.6666666666666665</v>
      </c>
      <c r="V18" s="11">
        <v>2</v>
      </c>
      <c r="W18" s="11">
        <v>12</v>
      </c>
      <c r="X18" s="12">
        <f t="shared" si="4"/>
        <v>4.815384615384616</v>
      </c>
      <c r="Y18" s="23">
        <f t="shared" si="5"/>
        <v>3.8214102564102559</v>
      </c>
    </row>
    <row r="19" spans="1:25" ht="21" x14ac:dyDescent="0.35">
      <c r="A19" s="2" t="s">
        <v>6</v>
      </c>
      <c r="B19" s="2" t="s">
        <v>7</v>
      </c>
      <c r="C19" s="2" t="s">
        <v>8</v>
      </c>
      <c r="D19" s="2" t="s">
        <v>9</v>
      </c>
      <c r="E19" s="2" t="s">
        <v>42</v>
      </c>
      <c r="F19" s="2" t="s">
        <v>43</v>
      </c>
      <c r="G19" t="str">
        <f t="shared" si="0"/>
        <v>mescobarmo@unal.edu.co,</v>
      </c>
      <c r="H19" t="str">
        <f>VLOOKUP(E19,[1]archivo!$B$2:$B$24,1,0)</f>
        <v>1034659420</v>
      </c>
      <c r="I19" s="11"/>
      <c r="J19" s="12">
        <v>4</v>
      </c>
      <c r="K19" s="12">
        <v>5</v>
      </c>
      <c r="L19" s="12">
        <f t="shared" si="6"/>
        <v>4.5</v>
      </c>
      <c r="M19" s="11"/>
      <c r="N19" s="13">
        <v>60</v>
      </c>
      <c r="O19" s="12">
        <f t="shared" si="7"/>
        <v>3.75</v>
      </c>
      <c r="P19" s="11">
        <v>1</v>
      </c>
      <c r="Q19" s="12">
        <v>5</v>
      </c>
      <c r="R19" s="12">
        <f t="shared" si="2"/>
        <v>5.0999999999999996</v>
      </c>
      <c r="S19" s="11">
        <v>1</v>
      </c>
      <c r="T19" s="11">
        <v>11</v>
      </c>
      <c r="U19" s="12">
        <f t="shared" si="3"/>
        <v>3.7666666666666666</v>
      </c>
      <c r="V19" s="11">
        <v>1</v>
      </c>
      <c r="W19" s="11">
        <v>11</v>
      </c>
      <c r="X19" s="12">
        <f t="shared" si="4"/>
        <v>4.3307692307692305</v>
      </c>
      <c r="Y19" s="23">
        <f t="shared" si="5"/>
        <v>4.2894871794871801</v>
      </c>
    </row>
    <row r="20" spans="1:25" ht="21" x14ac:dyDescent="0.35">
      <c r="A20" s="2" t="s">
        <v>6</v>
      </c>
      <c r="B20" s="2" t="s">
        <v>7</v>
      </c>
      <c r="C20" s="2" t="s">
        <v>8</v>
      </c>
      <c r="D20" s="2" t="s">
        <v>9</v>
      </c>
      <c r="E20" s="2" t="s">
        <v>44</v>
      </c>
      <c r="F20" s="2" t="s">
        <v>45</v>
      </c>
      <c r="G20" t="str">
        <f t="shared" si="0"/>
        <v>jgiraldolop@unal.edu.co,</v>
      </c>
      <c r="H20" t="str">
        <f>VLOOKUP(E20,[1]archivo!$B$2:$B$24,1,0)</f>
        <v>1059119224</v>
      </c>
      <c r="I20" s="11"/>
      <c r="J20" s="12">
        <v>5</v>
      </c>
      <c r="K20" s="12">
        <v>3.5</v>
      </c>
      <c r="L20" s="12">
        <f t="shared" si="6"/>
        <v>4.25</v>
      </c>
      <c r="M20" s="11"/>
      <c r="N20" s="13">
        <v>60</v>
      </c>
      <c r="O20" s="12">
        <f t="shared" si="7"/>
        <v>3.75</v>
      </c>
      <c r="P20" s="11"/>
      <c r="Q20" s="12">
        <v>4.8</v>
      </c>
      <c r="R20" s="12">
        <f t="shared" si="2"/>
        <v>4.8</v>
      </c>
      <c r="S20" s="11"/>
      <c r="T20" s="11">
        <v>5</v>
      </c>
      <c r="U20" s="12">
        <f t="shared" si="3"/>
        <v>1.6666666666666667</v>
      </c>
      <c r="V20" s="11"/>
      <c r="W20" s="11">
        <v>9</v>
      </c>
      <c r="X20" s="12">
        <f t="shared" si="4"/>
        <v>3.4615384615384617</v>
      </c>
      <c r="Y20" s="23">
        <f t="shared" si="5"/>
        <v>3.5856410256410256</v>
      </c>
    </row>
    <row r="21" spans="1:25" ht="21" x14ac:dyDescent="0.35">
      <c r="A21" s="2" t="s">
        <v>6</v>
      </c>
      <c r="B21" s="2" t="s">
        <v>7</v>
      </c>
      <c r="C21" s="2" t="s">
        <v>8</v>
      </c>
      <c r="D21" s="2" t="s">
        <v>9</v>
      </c>
      <c r="E21" s="2" t="s">
        <v>46</v>
      </c>
      <c r="F21" s="2" t="s">
        <v>47</v>
      </c>
      <c r="G21" t="str">
        <f t="shared" si="0"/>
        <v>ygarnica@unal.edu.co,</v>
      </c>
      <c r="H21" t="str">
        <f>VLOOKUP(E21,[1]archivo!$B$2:$B$24,1,0)</f>
        <v>1076736434</v>
      </c>
      <c r="I21" s="11"/>
      <c r="J21" s="12">
        <v>4.5</v>
      </c>
      <c r="K21" s="12">
        <v>4.5</v>
      </c>
      <c r="L21" s="12">
        <f t="shared" si="6"/>
        <v>4.5</v>
      </c>
      <c r="M21" s="11">
        <v>1</v>
      </c>
      <c r="N21" s="13">
        <v>70</v>
      </c>
      <c r="O21" s="12">
        <f t="shared" si="7"/>
        <v>4.4749999999999996</v>
      </c>
      <c r="P21" s="11"/>
      <c r="Q21" s="12">
        <v>4.8</v>
      </c>
      <c r="R21" s="12">
        <f t="shared" si="2"/>
        <v>4.8</v>
      </c>
      <c r="S21" s="11"/>
      <c r="T21" s="11">
        <v>14</v>
      </c>
      <c r="U21" s="12">
        <f t="shared" si="3"/>
        <v>4.666666666666667</v>
      </c>
      <c r="V21" s="11"/>
      <c r="W21" s="11">
        <v>12</v>
      </c>
      <c r="X21" s="12">
        <f t="shared" si="4"/>
        <v>4.6153846153846159</v>
      </c>
      <c r="Y21" s="23">
        <f t="shared" si="5"/>
        <v>4.6114102564102568</v>
      </c>
    </row>
    <row r="22" spans="1:25" ht="21" x14ac:dyDescent="0.35">
      <c r="A22" s="2" t="s">
        <v>6</v>
      </c>
      <c r="B22" s="2" t="s">
        <v>7</v>
      </c>
      <c r="C22" s="2" t="s">
        <v>8</v>
      </c>
      <c r="D22" s="2" t="s">
        <v>9</v>
      </c>
      <c r="E22" s="2" t="s">
        <v>48</v>
      </c>
      <c r="F22" s="2" t="s">
        <v>49</v>
      </c>
      <c r="G22" t="str">
        <f t="shared" si="0"/>
        <v>lauramirezgu@unal.edu.co,</v>
      </c>
      <c r="H22" t="str">
        <f>VLOOKUP(E22,[1]archivo!$B$2:$B$24,1,0)</f>
        <v>1077852850</v>
      </c>
      <c r="I22" s="11"/>
      <c r="J22" s="12">
        <v>3.5</v>
      </c>
      <c r="K22" s="12">
        <v>3</v>
      </c>
      <c r="L22" s="12">
        <f t="shared" si="6"/>
        <v>3.25</v>
      </c>
      <c r="M22" s="11"/>
      <c r="N22" s="13">
        <v>0</v>
      </c>
      <c r="O22" s="12">
        <f t="shared" si="7"/>
        <v>0</v>
      </c>
      <c r="P22" s="11"/>
      <c r="Q22" s="12"/>
      <c r="R22" s="12">
        <f t="shared" si="2"/>
        <v>0</v>
      </c>
      <c r="S22" s="11"/>
      <c r="T22" s="11"/>
      <c r="U22" s="12">
        <f t="shared" si="3"/>
        <v>0</v>
      </c>
      <c r="V22" s="11"/>
      <c r="W22" s="11"/>
      <c r="X22" s="12">
        <f t="shared" si="4"/>
        <v>0</v>
      </c>
      <c r="Y22" s="23">
        <f t="shared" si="5"/>
        <v>0.65</v>
      </c>
    </row>
    <row r="23" spans="1:25" ht="21" x14ac:dyDescent="0.35">
      <c r="A23" s="2" t="s">
        <v>6</v>
      </c>
      <c r="B23" s="2" t="s">
        <v>7</v>
      </c>
      <c r="C23" s="2" t="s">
        <v>8</v>
      </c>
      <c r="D23" s="2" t="s">
        <v>9</v>
      </c>
      <c r="E23" s="2" t="s">
        <v>50</v>
      </c>
      <c r="F23" s="2" t="s">
        <v>51</v>
      </c>
      <c r="G23" t="str">
        <f t="shared" si="0"/>
        <v>heramirezp@unal.edu.co,</v>
      </c>
      <c r="H23" t="str">
        <f>VLOOKUP(E23,[1]archivo!$B$2:$B$24,1,0)</f>
        <v>1104701841</v>
      </c>
      <c r="I23" s="11"/>
      <c r="J23" s="12">
        <v>3.5</v>
      </c>
      <c r="K23" s="12">
        <v>4.5</v>
      </c>
      <c r="L23" s="12">
        <f t="shared" si="6"/>
        <v>4</v>
      </c>
      <c r="M23" s="11"/>
      <c r="N23" s="13">
        <v>50</v>
      </c>
      <c r="O23" s="12">
        <f>N23/16+M23/10</f>
        <v>3.125</v>
      </c>
      <c r="P23" s="11">
        <v>1</v>
      </c>
      <c r="Q23" s="12">
        <v>4</v>
      </c>
      <c r="R23" s="12">
        <f t="shared" si="2"/>
        <v>4.0999999999999996</v>
      </c>
      <c r="S23" s="11"/>
      <c r="T23" s="11">
        <v>13</v>
      </c>
      <c r="U23" s="12">
        <f t="shared" si="3"/>
        <v>4.333333333333333</v>
      </c>
      <c r="V23" s="11"/>
      <c r="W23" s="11">
        <v>10</v>
      </c>
      <c r="X23" s="12">
        <f t="shared" si="4"/>
        <v>3.8461538461538463</v>
      </c>
      <c r="Y23" s="23">
        <f t="shared" si="5"/>
        <v>3.880897435897436</v>
      </c>
    </row>
  </sheetData>
  <mergeCells count="6">
    <mergeCell ref="Y1:Y2"/>
    <mergeCell ref="M1:O1"/>
    <mergeCell ref="P1:R1"/>
    <mergeCell ref="I1:L1"/>
    <mergeCell ref="S1:U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2026-02-20T16:22:03Z</dcterms:created>
  <dcterms:modified xsi:type="dcterms:W3CDTF">2026-07-23T12:44:35Z</dcterms:modified>
</cp:coreProperties>
</file>